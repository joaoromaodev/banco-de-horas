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<sst xmlns="http://schemas.openxmlformats.org/spreadsheetml/2006/main" count="708" uniqueCount="67">
  <si>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</si>
  <si>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</si>
  <si>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</si>
  <si>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</si>
  <si>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</si>
  <si>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</si>
  <si>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</si>
  <si>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</si>
  <si>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</si>
  <si>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</si>
  <si>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</si>
  <si>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</si>
  <si>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</si>
  <si>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</si>
  <si>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</si>
  <si>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</si>
  <si>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</si>
  <si>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</si>
  <si>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</si>
  <si>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</si>
  <si>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</si>
  <si>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</si>
  <si>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</si>
  <si>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</si>
  <si>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</si>
  <si>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</si>
  <si>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</si>
  <si>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</si>
  <si>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</si>
  <si>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</si>
  <si>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</si>
  <si>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</si>
  <si>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</si>
  <si>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</si>
  <si>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</si>
  <si>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</si>
  <si>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</si>
  <si>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</si>
  <si>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</si>
  <si>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</si>
  <si>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</si>
  <si>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</si>
  <si>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</si>
  <si>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</si>
  <si>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</si>
  <si>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</si>
  <si>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</si>
  <si>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</si>
  <si>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EDILENE DA SILVA LIMA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</si>
  <si>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</si>
  <si>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</si>
  <si>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</si>
  <si>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</si>
  <si>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</si>
  <si>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</si>
  <si>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</si>
  <si>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</si>
  <si>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</si>
  <si>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</si>
  <si>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FERIADO</t>
  </si>
  <si>
    <t>BANCO DE HORAS</t>
  </si>
  <si>
    <t>SABADO</t>
  </si>
  <si>
    <t>SEGUNDA</t>
  </si>
  <si>
    <t>TERÇA – FEIRA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</si>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</sst>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8" workbookViewId="0">
      <selection activeCell="C44" sqref="C44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15.6761904761905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 t="s">
        <v>58</v>
      </c>
      <c r="C7" s="17">
        <v>0</v>
      </c>
      <c r="D7" s="17">
        <v>0</v>
      </c>
      <c r="E7" s="18">
        <f t="shared" ref="E7:E22" si="0">D7-C7</f>
        <v>0</v>
      </c>
      <c r="F7" s="17">
        <v>0</v>
      </c>
      <c r="G7" s="17">
        <v>0</v>
      </c>
      <c r="H7" s="17">
        <f t="shared" ref="H7:H37" si="1">G7-F7</f>
        <v>0</v>
      </c>
      <c r="I7" s="18">
        <v>0</v>
      </c>
      <c r="J7" s="17">
        <f t="shared" ref="J7:J37" si="2">E7+H7</f>
        <v>0</v>
      </c>
      <c r="K7" s="17">
        <f t="shared" ref="K7:K37" si="3">J7-I7</f>
        <v>0</v>
      </c>
      <c r="L7" s="39" t="s">
        <v>59</v>
      </c>
      <c r="M7" s="40"/>
    </row>
    <row r="8" customHeight="1" spans="1:13">
      <c r="A8" s="6">
        <v>2</v>
      </c>
      <c r="B8" s="19" t="s">
        <v>19</v>
      </c>
      <c r="C8" s="20">
        <v>0</v>
      </c>
      <c r="D8" s="20">
        <v>0</v>
      </c>
      <c r="E8" s="21">
        <f t="shared" si="0"/>
        <v>0</v>
      </c>
      <c r="F8" s="20">
        <v>0</v>
      </c>
      <c r="G8" s="20">
        <v>0</v>
      </c>
      <c r="H8" s="20">
        <f t="shared" si="1"/>
        <v>0</v>
      </c>
      <c r="I8" s="21">
        <v>0</v>
      </c>
      <c r="J8" s="20">
        <f t="shared" si="2"/>
        <v>0</v>
      </c>
      <c r="K8" s="20">
        <f t="shared" si="3"/>
        <v>0</v>
      </c>
      <c r="L8" s="4" t="s">
        <v>60</v>
      </c>
      <c r="M8" s="40"/>
    </row>
    <row r="9" s="1" customFormat="1" customHeight="1" spans="1:1024">
      <c r="A9" s="6">
        <v>3</v>
      </c>
      <c r="B9" s="16" t="s">
        <v>61</v>
      </c>
      <c r="C9" s="17">
        <v>0</v>
      </c>
      <c r="D9" s="17">
        <v>0</v>
      </c>
      <c r="E9" s="18">
        <f t="shared" si="0"/>
        <v>0</v>
      </c>
      <c r="F9" s="22">
        <v>0</v>
      </c>
      <c r="G9" s="17">
        <v>0</v>
      </c>
      <c r="H9" s="17">
        <f t="shared" si="1"/>
        <v>0</v>
      </c>
      <c r="I9" s="18">
        <v>0.166666666666667</v>
      </c>
      <c r="J9" s="17">
        <f t="shared" si="2"/>
        <v>0</v>
      </c>
      <c r="K9" s="17">
        <f t="shared" si="3"/>
        <v>-0.166666666666667</v>
      </c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 t="s">
        <v>14</v>
      </c>
      <c r="C10" s="17">
        <v>0</v>
      </c>
      <c r="D10" s="17">
        <v>0</v>
      </c>
      <c r="E10" s="18">
        <f t="shared" si="0"/>
        <v>0</v>
      </c>
      <c r="F10" s="22">
        <v>0</v>
      </c>
      <c r="G10" s="17">
        <v>0</v>
      </c>
      <c r="H10" s="17">
        <f t="shared" si="1"/>
        <v>0</v>
      </c>
      <c r="I10" s="18">
        <v>0</v>
      </c>
      <c r="J10" s="17">
        <f t="shared" si="2"/>
        <v>0</v>
      </c>
      <c r="K10" s="17">
        <f t="shared" si="3"/>
        <v>0</v>
      </c>
      <c r="M10" s="40"/>
    </row>
    <row r="11" customHeight="1" spans="1:13">
      <c r="A11" s="6">
        <v>5</v>
      </c>
      <c r="B11" s="10" t="s">
        <v>62</v>
      </c>
      <c r="C11" s="20">
        <v>0.333333333333333</v>
      </c>
      <c r="D11" s="20">
        <v>0.542361111111111</v>
      </c>
      <c r="E11" s="21">
        <f t="shared" si="0"/>
        <v>0.209027777777778</v>
      </c>
      <c r="F11" s="20">
        <v>0.584027777777778</v>
      </c>
      <c r="G11" s="20">
        <v>0.749305555555556</v>
      </c>
      <c r="H11" s="20">
        <f t="shared" si="1"/>
        <v>0.165277777777778</v>
      </c>
      <c r="I11" s="21">
        <v>0.333333333333333</v>
      </c>
      <c r="J11" s="20">
        <f t="shared" si="2"/>
        <v>0.374305555555556</v>
      </c>
      <c r="K11" s="20">
        <f t="shared" si="3"/>
        <v>0.0409722222222225</v>
      </c>
      <c r="M11" s="40"/>
    </row>
    <row r="12" customHeight="1" spans="1:13">
      <c r="A12" s="6">
        <v>6</v>
      </c>
      <c r="B12" s="10" t="s">
        <v>63</v>
      </c>
      <c r="C12" s="20">
        <v>0.333333333333333</v>
      </c>
      <c r="D12" s="20">
        <v>0.543055555555556</v>
      </c>
      <c r="E12" s="21">
        <f t="shared" si="0"/>
        <v>0.209722222222222</v>
      </c>
      <c r="F12" s="20">
        <v>0.584722222222222</v>
      </c>
      <c r="G12" s="20">
        <v>0.748611111111111</v>
      </c>
      <c r="H12" s="20">
        <f t="shared" si="1"/>
        <v>0.163888888888889</v>
      </c>
      <c r="I12" s="21">
        <v>0.333333333333333</v>
      </c>
      <c r="J12" s="20">
        <f t="shared" si="2"/>
        <v>0.373611111111111</v>
      </c>
      <c r="K12" s="20">
        <f t="shared" si="3"/>
        <v>0.0402777777777781</v>
      </c>
      <c r="M12" s="40"/>
    </row>
    <row r="13" customHeight="1" spans="1:13">
      <c r="A13" s="6">
        <v>7</v>
      </c>
      <c r="B13" s="23" t="s">
        <v>17</v>
      </c>
      <c r="C13" s="20">
        <v>0.333333333333333</v>
      </c>
      <c r="D13" s="20">
        <v>0.544444444444444</v>
      </c>
      <c r="E13" s="21">
        <f t="shared" si="0"/>
        <v>0.211111111111111</v>
      </c>
      <c r="F13" s="20">
        <v>0.586111111111111</v>
      </c>
      <c r="G13" s="20">
        <v>0.747222222222222</v>
      </c>
      <c r="H13" s="20">
        <f t="shared" si="1"/>
        <v>0.161111111111111</v>
      </c>
      <c r="I13" s="21">
        <v>0.333333333333333</v>
      </c>
      <c r="J13" s="20">
        <f t="shared" si="2"/>
        <v>0.372222222222222</v>
      </c>
      <c r="K13" s="20">
        <f t="shared" si="3"/>
        <v>0.0388888888888892</v>
      </c>
      <c r="M13" s="40"/>
    </row>
    <row r="14" customHeight="1" spans="1:13">
      <c r="A14" s="6">
        <v>8</v>
      </c>
      <c r="B14" s="23" t="s">
        <v>58</v>
      </c>
      <c r="C14" s="20">
        <v>0.333333333333333</v>
      </c>
      <c r="D14" s="20">
        <v>0.543055555555556</v>
      </c>
      <c r="E14" s="21">
        <f t="shared" si="0"/>
        <v>0.209722222222222</v>
      </c>
      <c r="F14" s="20">
        <v>0.584722222222222</v>
      </c>
      <c r="G14" s="20">
        <v>0.74375</v>
      </c>
      <c r="H14" s="20">
        <f t="shared" si="1"/>
        <v>0.159027777777778</v>
      </c>
      <c r="I14" s="21">
        <v>0.333333333333333</v>
      </c>
      <c r="J14" s="20">
        <f t="shared" si="2"/>
        <v>0.36875</v>
      </c>
      <c r="K14" s="20">
        <f t="shared" si="3"/>
        <v>0.035416666666667</v>
      </c>
      <c r="M14" s="40"/>
    </row>
    <row r="15" s="1" customFormat="1" customHeight="1" spans="1:1024">
      <c r="A15" s="6">
        <v>9</v>
      </c>
      <c r="B15" s="23" t="s">
        <v>19</v>
      </c>
      <c r="C15" s="20">
        <v>0.333333333333333</v>
      </c>
      <c r="D15" s="20">
        <v>0.543055555555556</v>
      </c>
      <c r="E15" s="21">
        <f t="shared" si="0"/>
        <v>0.209722222222222</v>
      </c>
      <c r="F15" s="20">
        <v>0.584722222222222</v>
      </c>
      <c r="G15" s="20">
        <v>0.693055555555556</v>
      </c>
      <c r="H15" s="20">
        <f t="shared" si="1"/>
        <v>0.108333333333333</v>
      </c>
      <c r="I15" s="21">
        <v>0.333333333333333</v>
      </c>
      <c r="J15" s="20">
        <f t="shared" si="2"/>
        <v>0.318055555555555</v>
      </c>
      <c r="K15" s="20">
        <f t="shared" si="3"/>
        <v>-0.0152777777777775</v>
      </c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61</v>
      </c>
      <c r="C16" s="17">
        <v>0</v>
      </c>
      <c r="D16" s="17">
        <v>0</v>
      </c>
      <c r="E16" s="18">
        <f t="shared" si="0"/>
        <v>0</v>
      </c>
      <c r="F16" s="22">
        <v>0</v>
      </c>
      <c r="G16" s="17">
        <v>0</v>
      </c>
      <c r="H16" s="17">
        <f t="shared" si="1"/>
        <v>0</v>
      </c>
      <c r="I16" s="18">
        <v>0.166666666666667</v>
      </c>
      <c r="J16" s="17">
        <f t="shared" si="2"/>
        <v>0</v>
      </c>
      <c r="K16" s="17">
        <f t="shared" si="3"/>
        <v>-0.166666666666667</v>
      </c>
      <c r="L16" s="41"/>
      <c r="M16" s="40"/>
    </row>
    <row r="17" customHeight="1" spans="1:13">
      <c r="A17" s="6">
        <v>11</v>
      </c>
      <c r="B17" s="16" t="s">
        <v>14</v>
      </c>
      <c r="C17" s="17">
        <v>0</v>
      </c>
      <c r="D17" s="17">
        <v>0</v>
      </c>
      <c r="E17" s="18">
        <f t="shared" si="0"/>
        <v>0</v>
      </c>
      <c r="F17" s="22">
        <v>0</v>
      </c>
      <c r="G17" s="17">
        <v>0</v>
      </c>
      <c r="H17" s="17">
        <f t="shared" si="1"/>
        <v>0</v>
      </c>
      <c r="I17" s="18">
        <v>0</v>
      </c>
      <c r="J17" s="17">
        <f t="shared" si="2"/>
        <v>0</v>
      </c>
      <c r="K17" s="17">
        <f t="shared" si="3"/>
        <v>0</v>
      </c>
      <c r="M17" s="40"/>
    </row>
    <row r="18" customHeight="1" spans="1:13">
      <c r="A18" s="6">
        <v>12</v>
      </c>
      <c r="B18" s="10" t="s">
        <v>62</v>
      </c>
      <c r="C18" s="20">
        <v>0.333333333333333</v>
      </c>
      <c r="D18" s="20">
        <v>0.542361111111111</v>
      </c>
      <c r="E18" s="21">
        <f t="shared" si="0"/>
        <v>0.209027777777778</v>
      </c>
      <c r="F18" s="20">
        <v>0.584027777777778</v>
      </c>
      <c r="G18" s="20">
        <v>0.639583333333333</v>
      </c>
      <c r="H18" s="20">
        <f t="shared" si="1"/>
        <v>0.0555555555555555</v>
      </c>
      <c r="I18" s="21">
        <v>0.333333333333333</v>
      </c>
      <c r="J18" s="20">
        <f t="shared" si="2"/>
        <v>0.264583333333333</v>
      </c>
      <c r="K18" s="20">
        <f t="shared" si="3"/>
        <v>-0.0687499999999998</v>
      </c>
      <c r="M18" s="40"/>
    </row>
    <row r="19" customHeight="1" spans="1:13">
      <c r="A19" s="6">
        <v>13</v>
      </c>
      <c r="B19" s="10" t="s">
        <v>63</v>
      </c>
      <c r="C19" s="20">
        <v>0.333333333333333</v>
      </c>
      <c r="D19" s="20">
        <v>0.542361111111111</v>
      </c>
      <c r="E19" s="21">
        <f t="shared" si="0"/>
        <v>0.209027777777778</v>
      </c>
      <c r="F19" s="20">
        <v>0.584027777777778</v>
      </c>
      <c r="G19" s="20">
        <v>0.754861111111111</v>
      </c>
      <c r="H19" s="20">
        <f t="shared" si="1"/>
        <v>0.170833333333333</v>
      </c>
      <c r="I19" s="21">
        <v>0.333333333333333</v>
      </c>
      <c r="J19" s="20">
        <f t="shared" si="2"/>
        <v>0.379861111111111</v>
      </c>
      <c r="K19" s="20">
        <f t="shared" si="3"/>
        <v>0.0465277777777781</v>
      </c>
      <c r="M19" s="40"/>
    </row>
    <row r="20" customHeight="1" spans="1:13">
      <c r="A20" s="6">
        <v>14</v>
      </c>
      <c r="B20" s="23" t="s">
        <v>17</v>
      </c>
      <c r="C20" s="20">
        <v>0.333333333333333</v>
      </c>
      <c r="D20" s="20">
        <v>0.543055555555556</v>
      </c>
      <c r="E20" s="21">
        <f t="shared" si="0"/>
        <v>0.209722222222222</v>
      </c>
      <c r="F20" s="20">
        <v>0.584722222222222</v>
      </c>
      <c r="G20" s="20">
        <v>0.695138888888889</v>
      </c>
      <c r="H20" s="20">
        <f t="shared" si="1"/>
        <v>0.110416666666667</v>
      </c>
      <c r="I20" s="21">
        <v>0.333333333333333</v>
      </c>
      <c r="J20" s="20">
        <f t="shared" si="2"/>
        <v>0.320138888888889</v>
      </c>
      <c r="K20" s="20">
        <f t="shared" si="3"/>
        <v>-0.0131944444444442</v>
      </c>
      <c r="M20" s="40"/>
    </row>
    <row r="21" customHeight="1" spans="1:13">
      <c r="A21" s="6">
        <v>15</v>
      </c>
      <c r="B21" s="23" t="s">
        <v>58</v>
      </c>
      <c r="C21" s="20">
        <v>0.333333333333333</v>
      </c>
      <c r="D21" s="20">
        <v>0.542361111111111</v>
      </c>
      <c r="E21" s="21">
        <f t="shared" si="0"/>
        <v>0.209027777777778</v>
      </c>
      <c r="F21" s="20">
        <v>0.584027777777778</v>
      </c>
      <c r="G21" s="20">
        <v>0.749305555555556</v>
      </c>
      <c r="H21" s="20">
        <f t="shared" si="1"/>
        <v>0.165277777777778</v>
      </c>
      <c r="I21" s="21">
        <v>0.333333333333333</v>
      </c>
      <c r="J21" s="20">
        <f t="shared" si="2"/>
        <v>0.374305555555556</v>
      </c>
      <c r="K21" s="20">
        <f t="shared" si="3"/>
        <v>0.0409722222222225</v>
      </c>
      <c r="M21" s="40"/>
    </row>
    <row r="22" customHeight="1" spans="1:13">
      <c r="A22" s="6">
        <v>16</v>
      </c>
      <c r="B22" s="23" t="s">
        <v>19</v>
      </c>
      <c r="C22" s="20">
        <v>0.333333333333333</v>
      </c>
      <c r="D22" s="20">
        <v>0.543055555555556</v>
      </c>
      <c r="E22" s="21">
        <f t="shared" si="0"/>
        <v>0.209722222222222</v>
      </c>
      <c r="F22" s="20">
        <v>0.584722222222222</v>
      </c>
      <c r="G22" s="20">
        <v>0.61875</v>
      </c>
      <c r="H22" s="20">
        <f t="shared" si="1"/>
        <v>0.0340277777777778</v>
      </c>
      <c r="I22" s="21">
        <v>0.333333333333333</v>
      </c>
      <c r="J22" s="20">
        <f t="shared" si="2"/>
        <v>0.24375</v>
      </c>
      <c r="K22" s="20">
        <f t="shared" si="3"/>
        <v>-0.089583333333333</v>
      </c>
      <c r="M22" s="40"/>
    </row>
    <row r="23" customHeight="1" spans="1:13">
      <c r="A23" s="6">
        <v>17</v>
      </c>
      <c r="B23" s="16" t="s">
        <v>61</v>
      </c>
      <c r="C23" s="17">
        <v>0</v>
      </c>
      <c r="D23" s="17">
        <v>0</v>
      </c>
      <c r="E23" s="18">
        <f t="shared" ref="E20:E37" si="4">D23-C23</f>
        <v>0</v>
      </c>
      <c r="F23" s="22">
        <v>0</v>
      </c>
      <c r="G23" s="17">
        <v>0</v>
      </c>
      <c r="H23" s="17">
        <f t="shared" si="1"/>
        <v>0</v>
      </c>
      <c r="I23" s="18">
        <v>0.166666666666667</v>
      </c>
      <c r="J23" s="17">
        <f t="shared" si="2"/>
        <v>0</v>
      </c>
      <c r="K23" s="17">
        <f t="shared" si="3"/>
        <v>-0.166666666666667</v>
      </c>
      <c r="M23" s="40"/>
    </row>
    <row r="24" customHeight="1" spans="1:13">
      <c r="A24" s="6">
        <v>18</v>
      </c>
      <c r="B24" s="16" t="s">
        <v>14</v>
      </c>
      <c r="C24" s="17">
        <v>0</v>
      </c>
      <c r="D24" s="17">
        <v>0</v>
      </c>
      <c r="E24" s="18">
        <f t="shared" si="4"/>
        <v>0</v>
      </c>
      <c r="F24" s="22">
        <v>0</v>
      </c>
      <c r="G24" s="17">
        <v>0</v>
      </c>
      <c r="H24" s="17">
        <f t="shared" si="1"/>
        <v>0</v>
      </c>
      <c r="I24" s="18">
        <v>0</v>
      </c>
      <c r="J24" s="17">
        <f t="shared" si="2"/>
        <v>0</v>
      </c>
      <c r="K24" s="17">
        <f t="shared" si="3"/>
        <v>0</v>
      </c>
      <c r="M24" s="40"/>
    </row>
    <row r="25" customHeight="1" spans="1:13">
      <c r="A25" s="6">
        <v>19</v>
      </c>
      <c r="B25" s="10" t="s">
        <v>62</v>
      </c>
      <c r="C25" s="20">
        <v>0.333333333333333</v>
      </c>
      <c r="D25" s="20">
        <v>0.543055555555556</v>
      </c>
      <c r="E25" s="21">
        <f t="shared" si="4"/>
        <v>0.209722222222222</v>
      </c>
      <c r="F25" s="20">
        <v>0.584722222222222</v>
      </c>
      <c r="G25" s="20">
        <v>0.752777777777778</v>
      </c>
      <c r="H25" s="20">
        <f t="shared" si="1"/>
        <v>0.168055555555556</v>
      </c>
      <c r="I25" s="21">
        <v>0.333333333333333</v>
      </c>
      <c r="J25" s="20">
        <f t="shared" si="2"/>
        <v>0.377777777777778</v>
      </c>
      <c r="K25" s="20">
        <f t="shared" si="3"/>
        <v>0.0444444444444447</v>
      </c>
      <c r="M25" s="40"/>
    </row>
    <row r="26" customHeight="1" spans="1:11">
      <c r="A26" s="6">
        <v>20</v>
      </c>
      <c r="B26" s="10" t="s">
        <v>63</v>
      </c>
      <c r="C26" s="20">
        <v>0.333333333333333</v>
      </c>
      <c r="D26" s="20">
        <v>0.543055555555556</v>
      </c>
      <c r="E26" s="21">
        <f t="shared" si="4"/>
        <v>0.209722222222222</v>
      </c>
      <c r="F26" s="20">
        <v>0.584722222222222</v>
      </c>
      <c r="G26" s="20">
        <v>0.748611111111111</v>
      </c>
      <c r="H26" s="20">
        <f t="shared" si="1"/>
        <v>0.163888888888889</v>
      </c>
      <c r="I26" s="21">
        <v>0.333333333333333</v>
      </c>
      <c r="J26" s="20">
        <f t="shared" si="2"/>
        <v>0.373611111111111</v>
      </c>
      <c r="K26" s="20">
        <f t="shared" si="3"/>
        <v>0.0402777777777781</v>
      </c>
    </row>
    <row r="27" customHeight="1" spans="1:11">
      <c r="A27" s="6">
        <v>21</v>
      </c>
      <c r="B27" s="23" t="s">
        <v>17</v>
      </c>
      <c r="C27" s="20">
        <v>0.333333333333333</v>
      </c>
      <c r="D27" s="20">
        <v>0.542361111111111</v>
      </c>
      <c r="E27" s="21">
        <f t="shared" si="4"/>
        <v>0.209027777777778</v>
      </c>
      <c r="F27" s="20">
        <v>0.584027777777778</v>
      </c>
      <c r="G27" s="20">
        <v>0.729861111111111</v>
      </c>
      <c r="H27" s="20">
        <f t="shared" si="1"/>
        <v>0.145833333333333</v>
      </c>
      <c r="I27" s="21">
        <v>0.333333333333333</v>
      </c>
      <c r="J27" s="20">
        <f t="shared" si="2"/>
        <v>0.354861111111111</v>
      </c>
      <c r="K27" s="20">
        <f t="shared" si="3"/>
        <v>0.021527777777778</v>
      </c>
    </row>
    <row r="28" customHeight="1" spans="1:11">
      <c r="A28" s="6">
        <v>22</v>
      </c>
      <c r="B28" s="23" t="s">
        <v>58</v>
      </c>
      <c r="C28" s="20">
        <v>0.333333333333333</v>
      </c>
      <c r="D28" s="20">
        <v>0.542361111111111</v>
      </c>
      <c r="E28" s="21">
        <f t="shared" si="4"/>
        <v>0.209027777777778</v>
      </c>
      <c r="F28" s="20">
        <v>0.584027777777778</v>
      </c>
      <c r="G28" s="20">
        <v>0.710416666666667</v>
      </c>
      <c r="H28" s="20">
        <f t="shared" si="1"/>
        <v>0.126388888888889</v>
      </c>
      <c r="I28" s="21">
        <v>0.333333333333333</v>
      </c>
      <c r="J28" s="20">
        <f t="shared" si="2"/>
        <v>0.335416666666667</v>
      </c>
      <c r="K28" s="20">
        <f t="shared" si="3"/>
        <v>0.00208333333333366</v>
      </c>
    </row>
    <row r="29" customHeight="1" spans="1:11">
      <c r="A29" s="6">
        <v>23</v>
      </c>
      <c r="B29" s="23" t="s">
        <v>19</v>
      </c>
      <c r="C29" s="20">
        <v>0.333333333333333</v>
      </c>
      <c r="D29" s="20">
        <v>0.542361111111111</v>
      </c>
      <c r="E29" s="21">
        <f t="shared" si="4"/>
        <v>0.209027777777778</v>
      </c>
      <c r="F29" s="20">
        <v>0.584027777777778</v>
      </c>
      <c r="G29" s="20">
        <v>0.623611111111111</v>
      </c>
      <c r="H29" s="20">
        <f t="shared" si="1"/>
        <v>0.0395833333333333</v>
      </c>
      <c r="I29" s="21">
        <v>0.333333333333333</v>
      </c>
      <c r="J29" s="20">
        <f t="shared" si="2"/>
        <v>0.248611111111111</v>
      </c>
      <c r="K29" s="20">
        <f t="shared" si="3"/>
        <v>-0.0847222222222219</v>
      </c>
    </row>
    <row r="30" customHeight="1" spans="1:11">
      <c r="A30" s="6">
        <v>24</v>
      </c>
      <c r="B30" s="16" t="s">
        <v>61</v>
      </c>
      <c r="C30" s="17">
        <v>0</v>
      </c>
      <c r="D30" s="17">
        <v>0</v>
      </c>
      <c r="E30" s="18">
        <f t="shared" si="4"/>
        <v>0</v>
      </c>
      <c r="F30" s="22">
        <v>0</v>
      </c>
      <c r="G30" s="17">
        <v>0</v>
      </c>
      <c r="H30" s="17">
        <f t="shared" si="1"/>
        <v>0</v>
      </c>
      <c r="I30" s="18">
        <v>0.166666666666667</v>
      </c>
      <c r="J30" s="17">
        <f t="shared" si="2"/>
        <v>0</v>
      </c>
      <c r="K30" s="17">
        <f t="shared" si="3"/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4"/>
        <v>0</v>
      </c>
      <c r="F31" s="22">
        <v>0</v>
      </c>
      <c r="G31" s="17">
        <v>0</v>
      </c>
      <c r="H31" s="17">
        <f t="shared" si="1"/>
        <v>0</v>
      </c>
      <c r="I31" s="18">
        <v>0</v>
      </c>
      <c r="J31" s="17">
        <f t="shared" si="2"/>
        <v>0</v>
      </c>
      <c r="K31" s="17">
        <f t="shared" si="3"/>
        <v>0</v>
      </c>
    </row>
    <row r="32" customHeight="1" spans="1:11">
      <c r="A32" s="6">
        <v>26</v>
      </c>
      <c r="B32" s="23" t="s">
        <v>62</v>
      </c>
      <c r="C32" s="20">
        <v>0.333333333333333</v>
      </c>
      <c r="D32" s="20">
        <v>0.542361111111111</v>
      </c>
      <c r="E32" s="21">
        <f t="shared" si="4"/>
        <v>0.209027777777778</v>
      </c>
      <c r="F32" s="20">
        <v>0.584027777777778</v>
      </c>
      <c r="G32" s="20">
        <v>0.649305555555556</v>
      </c>
      <c r="H32" s="20">
        <f t="shared" si="1"/>
        <v>0.0652777777777778</v>
      </c>
      <c r="I32" s="21">
        <v>0.333333333333333</v>
      </c>
      <c r="J32" s="20">
        <f t="shared" si="2"/>
        <v>0.274305555555556</v>
      </c>
      <c r="K32" s="20">
        <f t="shared" si="3"/>
        <v>-0.0590277777777775</v>
      </c>
    </row>
    <row r="33" customHeight="1" spans="1:11">
      <c r="A33" s="6">
        <v>27</v>
      </c>
      <c r="B33" s="23" t="s">
        <v>63</v>
      </c>
      <c r="C33" s="20">
        <v>0.333333333333333</v>
      </c>
      <c r="D33" s="20">
        <v>0.542361111111111</v>
      </c>
      <c r="E33" s="21">
        <f t="shared" si="4"/>
        <v>0.209027777777778</v>
      </c>
      <c r="F33" s="20">
        <v>0.584027777777778</v>
      </c>
      <c r="G33" s="20">
        <v>0.661111111111111</v>
      </c>
      <c r="H33" s="20">
        <f t="shared" si="1"/>
        <v>0.0770833333333333</v>
      </c>
      <c r="I33" s="21">
        <v>0.333333333333333</v>
      </c>
      <c r="J33" s="20">
        <f t="shared" si="2"/>
        <v>0.286111111111111</v>
      </c>
      <c r="K33" s="20">
        <f t="shared" si="3"/>
        <v>-0.0472222222222219</v>
      </c>
    </row>
    <row r="34" customHeight="1" spans="1:11">
      <c r="A34" s="24">
        <v>28</v>
      </c>
      <c r="B34" s="25" t="s">
        <v>17</v>
      </c>
      <c r="C34" s="20">
        <v>0.333333333333333</v>
      </c>
      <c r="D34" s="20">
        <v>0.541666666666667</v>
      </c>
      <c r="E34" s="21">
        <f t="shared" si="4"/>
        <v>0.208333333333333</v>
      </c>
      <c r="F34" s="20">
        <v>0.583333333333333</v>
      </c>
      <c r="G34" s="20">
        <v>0.649305555555556</v>
      </c>
      <c r="H34" s="20">
        <f t="shared" si="1"/>
        <v>0.0659722222222222</v>
      </c>
      <c r="I34" s="21">
        <v>0.333333333333333</v>
      </c>
      <c r="J34" s="20">
        <f t="shared" si="2"/>
        <v>0.274305555555556</v>
      </c>
      <c r="K34" s="20">
        <f t="shared" si="3"/>
        <v>-0.0590277777777775</v>
      </c>
    </row>
    <row r="35" customHeight="1" spans="1:11">
      <c r="A35" s="24">
        <v>29</v>
      </c>
      <c r="B35" s="25" t="s">
        <v>58</v>
      </c>
      <c r="C35" s="20">
        <v>0.333333333333333</v>
      </c>
      <c r="D35" s="20">
        <v>0.543055555555556</v>
      </c>
      <c r="E35" s="21">
        <f t="shared" si="4"/>
        <v>0.209722222222222</v>
      </c>
      <c r="F35" s="20">
        <v>0.584722222222222</v>
      </c>
      <c r="G35" s="20">
        <v>0.663888888888889</v>
      </c>
      <c r="H35" s="20">
        <f t="shared" si="1"/>
        <v>0.0791666666666666</v>
      </c>
      <c r="I35" s="21">
        <v>0.333333333333333</v>
      </c>
      <c r="J35" s="20">
        <f t="shared" si="2"/>
        <v>0.288888888888889</v>
      </c>
      <c r="K35" s="20">
        <f t="shared" si="3"/>
        <v>-0.0444444444444442</v>
      </c>
    </row>
    <row r="36" customHeight="1" spans="1:11">
      <c r="A36" s="24">
        <v>30</v>
      </c>
      <c r="B36" s="25" t="s">
        <v>19</v>
      </c>
      <c r="C36" s="20">
        <v>0.333333333333333</v>
      </c>
      <c r="D36" s="20">
        <v>0.542361111111111</v>
      </c>
      <c r="E36" s="21">
        <f t="shared" si="4"/>
        <v>0.209027777777778</v>
      </c>
      <c r="F36" s="20">
        <v>0.584027777777778</v>
      </c>
      <c r="G36" s="20">
        <v>0.725694444444444</v>
      </c>
      <c r="H36" s="20">
        <f t="shared" si="1"/>
        <v>0.141666666666667</v>
      </c>
      <c r="I36" s="21">
        <v>0.333333333333333</v>
      </c>
      <c r="J36" s="20">
        <f t="shared" si="2"/>
        <v>0.350694444444444</v>
      </c>
      <c r="K36" s="20">
        <f t="shared" si="3"/>
        <v>0.0173611111111114</v>
      </c>
    </row>
    <row r="37" customHeight="1" spans="1:11">
      <c r="A37" s="26">
        <v>31</v>
      </c>
      <c r="B37" s="27" t="s">
        <v>61</v>
      </c>
      <c r="C37" s="28">
        <v>0</v>
      </c>
      <c r="D37" s="28">
        <v>0</v>
      </c>
      <c r="E37" s="29">
        <f t="shared" si="4"/>
        <v>0</v>
      </c>
      <c r="F37" s="28">
        <v>0</v>
      </c>
      <c r="G37" s="28">
        <v>0</v>
      </c>
      <c r="H37" s="28">
        <f t="shared" si="1"/>
        <v>0</v>
      </c>
      <c r="I37" s="29">
        <v>0.166666666666667</v>
      </c>
      <c r="J37" s="28">
        <f t="shared" si="2"/>
        <v>0</v>
      </c>
      <c r="K37" s="28">
        <f t="shared" si="3"/>
        <v>-0.166666666666667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64</v>
      </c>
      <c r="C39" s="31">
        <f>J43</f>
        <v>6.55416666666667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65</v>
      </c>
      <c r="C41" s="31">
        <f>I43</f>
        <v>7.5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66</v>
      </c>
      <c r="C43" s="31">
        <f>C39-C41</f>
        <v>-0.94583333333333</v>
      </c>
      <c r="D43" s="14"/>
      <c r="E43" s="14"/>
      <c r="F43" s="14"/>
      <c r="G43" s="14"/>
      <c r="H43" s="14"/>
      <c r="I43" s="21">
        <f>SUM(I7:I42)</f>
        <v>7.5</v>
      </c>
      <c r="J43" s="21">
        <f>SUM(J7:J42)</f>
        <v>6.55416666666667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