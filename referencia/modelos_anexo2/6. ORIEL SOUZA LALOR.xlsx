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date1904="1"/>
  <bookViews>
    <workbookView windowWidth="20490" windowHeight="7620" tabRatio="500" firstSheet="13" activeTab="13"/>
  </bookViews>
  <sheets>
    <sheet name="08.2010" sheetId="1" state="hidden" r:id="rId1"/>
    <sheet name="09.2010" sheetId="2" state="hidden" r:id="rId2"/>
    <sheet name="082011" sheetId="3" state="hidden" r:id="rId3"/>
    <sheet name="092011" sheetId="4" state="hidden" r:id="rId4"/>
    <sheet name="102011" sheetId="5" state="hidden" r:id="rId5"/>
    <sheet name="122011" sheetId="6" state="hidden" r:id="rId6"/>
    <sheet name="122012" sheetId="7" state="hidden" r:id="rId7"/>
    <sheet name="022012" sheetId="8" state="hidden" r:id="rId8"/>
    <sheet name="032012" sheetId="9" state="hidden" r:id="rId9"/>
    <sheet name="042012" sheetId="10" state="hidden" r:id="rId10"/>
    <sheet name="012013" sheetId="11" state="hidden" r:id="rId11"/>
    <sheet name="022013" sheetId="12" state="hidden" r:id="rId12"/>
    <sheet name="032013" sheetId="13" state="hidden" r:id="rId13"/>
    <sheet name="JANEIRO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<sst xmlns="http://schemas.openxmlformats.org/spreadsheetml/2006/main" count="708" uniqueCount="67">
  <si>
    <t>LEVANTAMENTO DE HORAS STARLIDE DISTRIBUIDORA DE PEÇAS, PNEUS E BATERIAS LTDA</t>
  </si>
  <si>
    <t xml:space="preserve">NOME </t>
  </si>
  <si>
    <t>KLEOSON XAVIER PEREIRA</t>
  </si>
  <si>
    <t>PERIODO</t>
  </si>
  <si>
    <t>01/08/2010 A 31/08/2010</t>
  </si>
  <si>
    <t>vespertino</t>
  </si>
  <si>
    <t>matutino</t>
  </si>
  <si>
    <t>entrada</t>
  </si>
  <si>
    <t>saida</t>
  </si>
  <si>
    <t>total</t>
  </si>
  <si>
    <t xml:space="preserve">saida </t>
  </si>
  <si>
    <t>horario a cumprir</t>
  </si>
  <si>
    <t>horario cumprido</t>
  </si>
  <si>
    <t>SALDO</t>
  </si>
  <si>
    <t>DOMINGO</t>
  </si>
  <si>
    <t>SEGUNDA-FEIRA</t>
  </si>
  <si>
    <t>TERÇA-FEIRA</t>
  </si>
  <si>
    <t>QUARTA-FEIRA</t>
  </si>
  <si>
    <t>QUINTA-FEIRA</t>
  </si>
  <si>
    <t>SEXTA-FEIRA</t>
  </si>
  <si>
    <t>SÁBADO</t>
  </si>
  <si>
    <t>HORARIO  CUMPRIDO</t>
  </si>
  <si>
    <t>HORARIO  A CUMPRIR</t>
  </si>
  <si>
    <t>BELEM-PA 31 DE AGOSTO DE 2010</t>
  </si>
  <si>
    <t xml:space="preserve">                                                 ASSINATURA DO FUNCIONARIO</t>
  </si>
  <si>
    <t>01/09/2010 A 30/09/2010</t>
  </si>
  <si>
    <t>BELEM-PA 30 DE SETEMBRO DE 2010</t>
  </si>
  <si>
    <t>LEVANTAMENTO DE HORAS STARLIFE</t>
  </si>
  <si>
    <t>REGINO ARAUJO</t>
  </si>
  <si>
    <t>01/08/2011 A 31/08/2011</t>
  </si>
  <si>
    <t>BELEM-PA 31 DE AGOSTO DE 2011</t>
  </si>
  <si>
    <t>01/09/2011 A 30/09/2011</t>
  </si>
  <si>
    <t>PEDRO JOSE</t>
  </si>
  <si>
    <t>01/10/2011 A 31/10/2011</t>
  </si>
  <si>
    <t>BELEM-PA 31 DE OUTUBRO DE 2011</t>
  </si>
  <si>
    <t>01/12/2011 A 31/12/2011</t>
  </si>
  <si>
    <t>BELEM-PA 31 DE DEZEMBRO DE 2011</t>
  </si>
  <si>
    <t>01/12/2012 A 31/12/2012</t>
  </si>
  <si>
    <t>BELEM-PA 31 DE DEZEMBRO DE 2013</t>
  </si>
  <si>
    <t>01/02/2012 A 29/02/2012</t>
  </si>
  <si>
    <t>01/01/2011 A 31/01/2012</t>
  </si>
  <si>
    <t>01/04/2012 a 30/04/2012</t>
  </si>
  <si>
    <t>01/01/2013 A 31/01/2013</t>
  </si>
  <si>
    <t>01/02/2013 A 28/02/2013</t>
  </si>
  <si>
    <t>01/03/2013 A 31/03/2013</t>
  </si>
  <si>
    <t>BELEM-PA 31 DE março DE 2013</t>
  </si>
  <si>
    <t xml:space="preserve">   VAZ E VOUZELA</t>
  </si>
  <si>
    <t>NOME</t>
  </si>
  <si>
    <t>ORIEL SOUZA LALOR</t>
  </si>
  <si>
    <t>PERÍODO</t>
  </si>
  <si>
    <t>01/2026</t>
  </si>
  <si>
    <t>VESPERTINO</t>
  </si>
  <si>
    <t>Matutino</t>
  </si>
  <si>
    <t>Entrada</t>
  </si>
  <si>
    <t>Saída</t>
  </si>
  <si>
    <t>Total</t>
  </si>
  <si>
    <t>Horário a Cumprir</t>
  </si>
  <si>
    <t>Horário Cumprido</t>
  </si>
  <si>
    <t>QUINTA – FEIRA</t>
  </si>
  <si>
    <t>FERIADO</t>
  </si>
  <si>
    <t>BANCO DE HORAS</t>
  </si>
  <si>
    <t>SABADO</t>
  </si>
  <si>
    <t>SEGUNDA</t>
  </si>
  <si>
    <t>TERÇA – FEIRA</t>
  </si>
  <si>
    <t>HORÁRIO  CUMPRIDO</t>
  </si>
  <si>
    <t>HORÁRIO  A CUMPRIR</t>
  </si>
  <si>
    <t>SALDO DEVEDOR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</si>
</sst>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176" formatCode="_-&quot;R$&quot;* #,##0_-;\-&quot;R$&quot;* #,##0_-;_-&quot;R$&quot;* &quot;-&quot;_-;_-@_-"/>
    <numFmt numFmtId="177" formatCode="_-&quot;R$&quot;* #,##0.00_-;\-&quot;R$&quot;* #,##0.00_-;_-&quot;R$&quot;* &quot;-&quot;??_-;_-@_-"/>
    <numFmt numFmtId="178" formatCode="_-* #,##0_-;\-* #,##0_-;_-* &quot;-&quot;_-;_-@_-"/>
    <numFmt numFmtId="179" formatCode="_-* #,##0.00_-;\-* #,##0.00_-;_-* &quot;-&quot;??_-;_-@_-"/>
    <numFmt numFmtId="180" formatCode="[$-F400]h:mm:ss\ AM/PM"/>
    <numFmt numFmtId="181" formatCode="[h]:mm:ss;@"/>
    <numFmt numFmtId="182" formatCode="h:mm;@"/>
    <numFmt numFmtId="183" formatCode="d/m/yyyy"/>
    <numFmt numFmtId="184" formatCode="#\ ?/?"/>
  </numFmts>
  <fonts count="36">
    <font>
      <sz val="11"/>
      <color rgb="FF000000"/>
      <name val="Calibri"/>
      <charset val="1"/>
    </font>
    <font>
      <sz val="11"/>
      <color rgb="FFFF0000"/>
      <name val="Calibri"/>
      <charset val="1"/>
    </font>
    <font>
      <b/>
      <sz val="9"/>
      <name val="Arial"/>
      <charset val="1"/>
    </font>
    <font>
      <b/>
      <sz val="9"/>
      <color rgb="FF111111"/>
      <name val="Arial"/>
      <charset val="1"/>
    </font>
    <font>
      <b/>
      <sz val="9"/>
      <color rgb="FF1C1C1C"/>
      <name val="Arial"/>
      <charset val="1"/>
    </font>
    <font>
      <b/>
      <sz val="9"/>
      <color rgb="FFFF0000"/>
      <name val="Arial"/>
      <charset val="1"/>
    </font>
    <font>
      <b/>
      <sz val="9"/>
      <color rgb="FF000000"/>
      <name val="Arial"/>
      <charset val="1"/>
    </font>
    <font>
      <sz val="10"/>
      <name val="Calibri"/>
      <charset val="1"/>
    </font>
    <font>
      <sz val="9"/>
      <name val="Calibri"/>
      <charset val="1"/>
    </font>
    <font>
      <sz val="8"/>
      <name val="Calibri"/>
      <charset val="1"/>
    </font>
    <font>
      <sz val="11"/>
      <name val="Calibri"/>
      <charset val="1"/>
    </font>
    <font>
      <sz val="10"/>
      <color rgb="FFFF0000"/>
      <name val="Calibri"/>
      <charset val="1"/>
    </font>
    <font>
      <sz val="9"/>
      <color rgb="FFFF0000"/>
      <name val="Calibri"/>
      <charset val="1"/>
    </font>
    <font>
      <sz val="10"/>
      <color rgb="FF000000"/>
      <name val="Calibri"/>
      <charset val="1"/>
    </font>
    <font>
      <sz val="8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0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rgb="FFC3D69B"/>
        <bgColor rgb="FFD7E4BD"/>
      </patternFill>
    </fill>
    <fill>
      <patternFill patternType="solid">
        <fgColor rgb="FFFFFF00"/>
        <bgColor rgb="FFFFFF00"/>
      </patternFill>
    </fill>
    <fill>
      <patternFill patternType="solid">
        <fgColor rgb="FFD7E4BD"/>
        <bgColor rgb="FFC3D69B"/>
      </patternFill>
    </fill>
    <fill>
      <patternFill patternType="solid">
        <fgColor rgb="FFDBEEF4"/>
        <bgColor rgb="FFCC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5" fillId="0" borderId="0" applyBorder="0" applyAlignment="0" applyProtection="0"/>
    <xf numFmtId="177" fontId="15" fillId="0" borderId="0" applyBorder="0" applyAlignment="0" applyProtection="0"/>
    <xf numFmtId="9" fontId="15" fillId="0" borderId="0" applyBorder="0" applyAlignment="0" applyProtection="0"/>
    <xf numFmtId="178" fontId="15" fillId="0" borderId="0" applyBorder="0" applyAlignment="0" applyProtection="0"/>
    <xf numFmtId="179" fontId="15" fillId="0" borderId="0" applyBorder="0" applyAlignment="0" applyProtection="0"/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5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9" borderId="8" applyNumberFormat="0" applyAlignment="0" applyProtection="0">
      <alignment vertical="center"/>
    </xf>
    <xf numFmtId="0" fontId="26" fillId="10" borderId="9" applyNumberFormat="0" applyAlignment="0" applyProtection="0">
      <alignment vertical="center"/>
    </xf>
    <xf numFmtId="0" fontId="27" fillId="10" borderId="8" applyNumberFormat="0" applyAlignment="0" applyProtection="0">
      <alignment vertical="center"/>
    </xf>
    <xf numFmtId="0" fontId="28" fillId="11" borderId="10" applyNumberFormat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</cellStyleXfs>
  <cellXfs count="125">
    <xf numFmtId="0" fontId="0" fillId="0" borderId="0" xfId="0"/>
    <xf numFmtId="0" fontId="1" fillId="0" borderId="0" xfId="0" applyFont="1" applyFill="1"/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Alignment="1">
      <alignment vertical="center"/>
    </xf>
    <xf numFmtId="0" fontId="0" fillId="0" borderId="0" xfId="0" applyFill="1"/>
    <xf numFmtId="0" fontId="2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49" fontId="3" fillId="0" borderId="1" xfId="0" applyNumberFormat="1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46" fontId="5" fillId="0" borderId="1" xfId="0" applyNumberFormat="1" applyFont="1" applyFill="1" applyBorder="1" applyAlignment="1">
      <alignment horizontal="right" vertical="center"/>
    </xf>
    <xf numFmtId="46" fontId="5" fillId="0" borderId="1" xfId="0" applyNumberFormat="1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46" fontId="3" fillId="0" borderId="1" xfId="0" applyNumberFormat="1" applyFont="1" applyFill="1" applyBorder="1" applyAlignment="1">
      <alignment horizontal="right" vertical="center"/>
    </xf>
    <xf numFmtId="46" fontId="3" fillId="0" borderId="1" xfId="0" applyNumberFormat="1" applyFont="1" applyFill="1" applyBorder="1" applyAlignment="1">
      <alignment vertical="center"/>
    </xf>
    <xf numFmtId="180" fontId="5" fillId="0" borderId="1" xfId="0" applyNumberFormat="1" applyFont="1" applyFill="1" applyBorder="1" applyAlignment="1">
      <alignment horizontal="right" vertical="center"/>
    </xf>
    <xf numFmtId="0" fontId="6" fillId="0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46" fontId="5" fillId="2" borderId="1" xfId="0" applyNumberFormat="1" applyFont="1" applyFill="1" applyBorder="1" applyAlignment="1">
      <alignment horizontal="right" vertical="center"/>
    </xf>
    <xf numFmtId="46" fontId="5" fillId="2" borderId="1" xfId="0" applyNumberFormat="1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 shrinkToFit="1"/>
    </xf>
    <xf numFmtId="181" fontId="3" fillId="0" borderId="1" xfId="0" applyNumberFormat="1" applyFont="1" applyFill="1" applyBorder="1" applyAlignment="1">
      <alignment horizontal="center" vertical="center"/>
    </xf>
    <xf numFmtId="46" fontId="3" fillId="0" borderId="1" xfId="0" applyNumberFormat="1" applyFont="1" applyFill="1" applyBorder="1" applyAlignment="1">
      <alignment horizontal="center" vertical="center"/>
    </xf>
    <xf numFmtId="182" fontId="3" fillId="0" borderId="1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vertical="top" wrapText="1"/>
    </xf>
    <xf numFmtId="0" fontId="3" fillId="0" borderId="0" xfId="0" applyFont="1" applyFill="1" applyAlignment="1">
      <alignment vertical="top" wrapText="1"/>
    </xf>
    <xf numFmtId="0" fontId="3" fillId="0" borderId="3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 wrapText="1" shrinkToFit="1"/>
    </xf>
    <xf numFmtId="0" fontId="3" fillId="0" borderId="0" xfId="0" applyFont="1" applyFill="1" applyAlignment="1">
      <alignment horizontal="center" vertical="center"/>
    </xf>
    <xf numFmtId="46" fontId="3" fillId="0" borderId="0" xfId="0" applyNumberFormat="1" applyFont="1" applyFill="1" applyAlignment="1">
      <alignment vertical="center"/>
    </xf>
    <xf numFmtId="0" fontId="5" fillId="0" borderId="0" xfId="0" applyFont="1" applyFill="1" applyAlignment="1">
      <alignment vertical="center"/>
    </xf>
    <xf numFmtId="46" fontId="5" fillId="0" borderId="0" xfId="0" applyNumberFormat="1" applyFont="1" applyFill="1" applyAlignment="1">
      <alignment vertical="center"/>
    </xf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left"/>
    </xf>
    <xf numFmtId="183" fontId="7" fillId="3" borderId="1" xfId="0" applyNumberFormat="1" applyFont="1" applyFill="1" applyBorder="1" applyAlignment="1">
      <alignment horizontal="left"/>
    </xf>
    <xf numFmtId="0" fontId="7" fillId="3" borderId="3" xfId="0" applyFont="1" applyFill="1" applyBorder="1"/>
    <xf numFmtId="0" fontId="7" fillId="3" borderId="3" xfId="0" applyFont="1" applyFill="1" applyBorder="1" applyAlignment="1">
      <alignment horizontal="center"/>
    </xf>
    <xf numFmtId="0" fontId="7" fillId="3" borderId="1" xfId="0" applyFont="1" applyFill="1" applyBorder="1"/>
    <xf numFmtId="0" fontId="8" fillId="3" borderId="1" xfId="0" applyFont="1" applyFill="1" applyBorder="1"/>
    <xf numFmtId="46" fontId="7" fillId="3" borderId="1" xfId="0" applyNumberFormat="1" applyFont="1" applyFill="1" applyBorder="1" applyAlignment="1">
      <alignment horizontal="center"/>
    </xf>
    <xf numFmtId="46" fontId="7" fillId="4" borderId="1" xfId="0" applyNumberFormat="1" applyFont="1" applyFill="1" applyBorder="1" applyAlignment="1">
      <alignment horizontal="center"/>
    </xf>
    <xf numFmtId="0" fontId="7" fillId="4" borderId="1" xfId="0" applyFont="1" applyFill="1" applyBorder="1"/>
    <xf numFmtId="0" fontId="8" fillId="4" borderId="1" xfId="0" applyFont="1" applyFill="1" applyBorder="1"/>
    <xf numFmtId="0" fontId="7" fillId="5" borderId="1" xfId="0" applyFont="1" applyFill="1" applyBorder="1"/>
    <xf numFmtId="0" fontId="8" fillId="5" borderId="1" xfId="0" applyFont="1" applyFill="1" applyBorder="1"/>
    <xf numFmtId="46" fontId="7" fillId="5" borderId="1" xfId="0" applyNumberFormat="1" applyFont="1" applyFill="1" applyBorder="1" applyAlignment="1">
      <alignment horizontal="center"/>
    </xf>
    <xf numFmtId="0" fontId="7" fillId="0" borderId="0" xfId="0" applyFont="1"/>
    <xf numFmtId="46" fontId="7" fillId="0" borderId="0" xfId="0" applyNumberFormat="1" applyFont="1" applyAlignment="1">
      <alignment horizontal="center"/>
    </xf>
    <xf numFmtId="0" fontId="9" fillId="0" borderId="0" xfId="0" applyFont="1" applyBorder="1" applyAlignment="1">
      <alignment shrinkToFit="1"/>
    </xf>
    <xf numFmtId="0" fontId="7" fillId="0" borderId="0" xfId="0" applyFont="1" applyAlignment="1">
      <alignment horizontal="center"/>
    </xf>
    <xf numFmtId="0" fontId="9" fillId="0" borderId="0" xfId="0" applyFont="1"/>
    <xf numFmtId="0" fontId="7" fillId="0" borderId="0" xfId="0" applyFont="1" applyBorder="1"/>
    <xf numFmtId="0" fontId="7" fillId="3" borderId="1" xfId="0" applyFont="1" applyFill="1" applyBorder="1" applyAlignment="1">
      <alignment horizontal="center" shrinkToFit="1"/>
    </xf>
    <xf numFmtId="46" fontId="7" fillId="3" borderId="1" xfId="0" applyNumberFormat="1" applyFont="1" applyFill="1" applyBorder="1"/>
    <xf numFmtId="46" fontId="7" fillId="4" borderId="1" xfId="0" applyNumberFormat="1" applyFont="1" applyFill="1" applyBorder="1"/>
    <xf numFmtId="35" fontId="7" fillId="3" borderId="1" xfId="0" applyNumberFormat="1" applyFont="1" applyFill="1" applyBorder="1"/>
    <xf numFmtId="35" fontId="7" fillId="3" borderId="0" xfId="0" applyNumberFormat="1" applyFont="1" applyFill="1"/>
    <xf numFmtId="46" fontId="7" fillId="0" borderId="0" xfId="0" applyNumberFormat="1" applyFont="1"/>
    <xf numFmtId="0" fontId="0" fillId="3" borderId="0" xfId="0" applyFill="1"/>
    <xf numFmtId="35" fontId="7" fillId="4" borderId="1" xfId="0" applyNumberFormat="1" applyFont="1" applyFill="1" applyBorder="1"/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183" fontId="7" fillId="0" borderId="1" xfId="0" applyNumberFormat="1" applyFont="1" applyBorder="1" applyAlignment="1">
      <alignment horizontal="left"/>
    </xf>
    <xf numFmtId="0" fontId="7" fillId="0" borderId="3" xfId="0" applyFont="1" applyBorder="1"/>
    <xf numFmtId="0" fontId="7" fillId="0" borderId="3" xfId="0" applyFont="1" applyBorder="1" applyAlignment="1">
      <alignment horizontal="center"/>
    </xf>
    <xf numFmtId="0" fontId="7" fillId="0" borderId="1" xfId="0" applyFont="1" applyBorder="1"/>
    <xf numFmtId="0" fontId="10" fillId="0" borderId="0" xfId="0" applyFont="1"/>
    <xf numFmtId="0" fontId="7" fillId="0" borderId="1" xfId="0" applyFont="1" applyBorder="1" applyAlignment="1">
      <alignment horizontal="center" shrinkToFit="1"/>
    </xf>
    <xf numFmtId="46" fontId="7" fillId="5" borderId="1" xfId="0" applyNumberFormat="1" applyFont="1" applyFill="1" applyBorder="1"/>
    <xf numFmtId="0" fontId="11" fillId="6" borderId="1" xfId="0" applyFont="1" applyFill="1" applyBorder="1"/>
    <xf numFmtId="0" fontId="12" fillId="6" borderId="1" xfId="0" applyFont="1" applyFill="1" applyBorder="1"/>
    <xf numFmtId="46" fontId="11" fillId="6" borderId="1" xfId="0" applyNumberFormat="1" applyFont="1" applyFill="1" applyBorder="1" applyAlignment="1">
      <alignment horizontal="center"/>
    </xf>
    <xf numFmtId="46" fontId="7" fillId="6" borderId="1" xfId="0" applyNumberFormat="1" applyFont="1" applyFill="1" applyBorder="1" applyAlignment="1">
      <alignment horizontal="center"/>
    </xf>
    <xf numFmtId="46" fontId="7" fillId="7" borderId="1" xfId="0" applyNumberFormat="1" applyFont="1" applyFill="1" applyBorder="1" applyAlignment="1">
      <alignment horizontal="center"/>
    </xf>
    <xf numFmtId="46" fontId="11" fillId="6" borderId="1" xfId="0" applyNumberFormat="1" applyFont="1" applyFill="1" applyBorder="1"/>
    <xf numFmtId="20" fontId="7" fillId="3" borderId="1" xfId="0" applyNumberFormat="1" applyFont="1" applyFill="1" applyBorder="1"/>
    <xf numFmtId="0" fontId="1" fillId="0" borderId="0" xfId="0" applyFont="1"/>
    <xf numFmtId="0" fontId="11" fillId="3" borderId="1" xfId="0" applyFont="1" applyFill="1" applyBorder="1"/>
    <xf numFmtId="0" fontId="12" fillId="3" borderId="1" xfId="0" applyFont="1" applyFill="1" applyBorder="1"/>
    <xf numFmtId="46" fontId="11" fillId="3" borderId="1" xfId="0" applyNumberFormat="1" applyFont="1" applyFill="1" applyBorder="1" applyAlignment="1">
      <alignment horizontal="center"/>
    </xf>
    <xf numFmtId="46" fontId="11" fillId="3" borderId="1" xfId="0" applyNumberFormat="1" applyFont="1" applyFill="1" applyBorder="1"/>
    <xf numFmtId="0" fontId="13" fillId="3" borderId="1" xfId="0" applyFont="1" applyFill="1" applyBorder="1"/>
    <xf numFmtId="35" fontId="11" fillId="3" borderId="1" xfId="0" applyNumberFormat="1" applyFont="1" applyFill="1" applyBorder="1"/>
    <xf numFmtId="0" fontId="13" fillId="0" borderId="1" xfId="0" applyFont="1" applyBorder="1" applyAlignment="1">
      <alignment horizontal="center"/>
    </xf>
    <xf numFmtId="0" fontId="13" fillId="0" borderId="1" xfId="0" applyFont="1" applyBorder="1" applyAlignment="1">
      <alignment horizontal="left"/>
    </xf>
    <xf numFmtId="183" fontId="13" fillId="0" borderId="1" xfId="0" applyNumberFormat="1" applyFont="1" applyBorder="1" applyAlignment="1">
      <alignment horizontal="left"/>
    </xf>
    <xf numFmtId="0" fontId="13" fillId="0" borderId="3" xfId="0" applyFont="1" applyBorder="1"/>
    <xf numFmtId="0" fontId="13" fillId="0" borderId="3" xfId="0" applyFont="1" applyBorder="1" applyAlignment="1">
      <alignment horizontal="center"/>
    </xf>
    <xf numFmtId="0" fontId="13" fillId="0" borderId="0" xfId="0" applyFont="1"/>
    <xf numFmtId="46" fontId="13" fillId="0" borderId="0" xfId="0" applyNumberFormat="1" applyFont="1" applyAlignment="1">
      <alignment horizontal="center"/>
    </xf>
    <xf numFmtId="0" fontId="14" fillId="0" borderId="0" xfId="0" applyFont="1" applyBorder="1" applyAlignment="1">
      <alignment shrinkToFit="1"/>
    </xf>
    <xf numFmtId="0" fontId="13" fillId="0" borderId="0" xfId="0" applyFont="1" applyAlignment="1">
      <alignment horizontal="center"/>
    </xf>
    <xf numFmtId="0" fontId="14" fillId="0" borderId="0" xfId="0" applyFont="1"/>
    <xf numFmtId="0" fontId="13" fillId="0" borderId="0" xfId="0" applyFont="1" applyBorder="1"/>
    <xf numFmtId="0" fontId="13" fillId="0" borderId="1" xfId="0" applyFont="1" applyBorder="1"/>
    <xf numFmtId="0" fontId="13" fillId="0" borderId="1" xfId="0" applyFont="1" applyBorder="1" applyAlignment="1">
      <alignment horizontal="center" shrinkToFit="1"/>
    </xf>
    <xf numFmtId="46" fontId="13" fillId="0" borderId="0" xfId="0" applyNumberFormat="1" applyFont="1"/>
    <xf numFmtId="0" fontId="11" fillId="0" borderId="0" xfId="0" applyFont="1"/>
    <xf numFmtId="46" fontId="7" fillId="0" borderId="1" xfId="0" applyNumberFormat="1" applyFont="1" applyBorder="1" applyAlignment="1">
      <alignment horizontal="center"/>
    </xf>
    <xf numFmtId="0" fontId="11" fillId="0" borderId="1" xfId="0" applyFont="1" applyBorder="1"/>
    <xf numFmtId="46" fontId="11" fillId="0" borderId="1" xfId="0" applyNumberFormat="1" applyFont="1" applyBorder="1" applyAlignment="1">
      <alignment horizontal="center"/>
    </xf>
    <xf numFmtId="46" fontId="13" fillId="0" borderId="1" xfId="0" applyNumberFormat="1" applyFont="1" applyBorder="1" applyAlignment="1">
      <alignment horizontal="center"/>
    </xf>
    <xf numFmtId="0" fontId="13" fillId="0" borderId="4" xfId="0" applyFont="1" applyBorder="1"/>
    <xf numFmtId="0" fontId="13" fillId="0" borderId="4" xfId="0" applyFont="1" applyBorder="1" applyAlignment="1">
      <alignment horizontal="center"/>
    </xf>
    <xf numFmtId="46" fontId="7" fillId="0" borderId="1" xfId="0" applyNumberFormat="1" applyFont="1" applyBorder="1"/>
    <xf numFmtId="35" fontId="11" fillId="0" borderId="1" xfId="0" applyNumberFormat="1" applyFont="1" applyBorder="1"/>
    <xf numFmtId="46" fontId="11" fillId="0" borderId="1" xfId="0" applyNumberFormat="1" applyFont="1" applyBorder="1"/>
    <xf numFmtId="46" fontId="11" fillId="0" borderId="0" xfId="0" applyNumberFormat="1" applyFont="1"/>
    <xf numFmtId="46" fontId="13" fillId="0" borderId="1" xfId="0" applyNumberFormat="1" applyFont="1" applyBorder="1"/>
    <xf numFmtId="0" fontId="13" fillId="3" borderId="0" xfId="0" applyFont="1" applyFill="1" applyAlignment="1">
      <alignment horizontal="center"/>
    </xf>
    <xf numFmtId="20" fontId="13" fillId="3" borderId="0" xfId="0" applyNumberFormat="1" applyFont="1" applyFill="1" applyAlignment="1">
      <alignment horizontal="center"/>
    </xf>
    <xf numFmtId="184" fontId="13" fillId="3" borderId="0" xfId="0" applyNumberFormat="1" applyFont="1" applyFill="1" applyAlignment="1">
      <alignment horizontal="center"/>
    </xf>
    <xf numFmtId="0" fontId="13" fillId="3" borderId="0" xfId="0" applyFont="1" applyFill="1"/>
    <xf numFmtId="20" fontId="13" fillId="3" borderId="0" xfId="0" applyNumberFormat="1" applyFont="1" applyFill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3D69B"/>
      <rgbColor rgb="00808080"/>
      <rgbColor rgb="009999FF"/>
      <rgbColor rgb="00993366"/>
      <rgbColor rgb="00FFFFCC"/>
      <rgbColor rgb="00DBEEF4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7E4BD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8000"/>
      <rgbColor rgb="00FF4000"/>
      <rgbColor rgb="00666699"/>
      <rgbColor rgb="00969696"/>
      <rgbColor rgb="00003366"/>
      <rgbColor rgb="00339966"/>
      <rgbColor rgb="00111111"/>
      <rgbColor rgb="00333300"/>
      <rgbColor rgb="00993300"/>
      <rgbColor rgb="00993366"/>
      <rgbColor rgb="00333399"/>
      <rgbColor rgb="001C1C1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J7" sqref="J7"/>
    </sheetView>
  </sheetViews>
  <sheetFormatPr defaultColWidth="9.15238095238095" defaultRowHeight="15"/>
  <cols>
    <col min="1" max="1" width="2.99047619047619" style="99" customWidth="1"/>
    <col min="2" max="2" width="14.152380952381" style="99" customWidth="1"/>
    <col min="3" max="3" width="9.13333333333333" style="102"/>
    <col min="4" max="4" width="8.71428571428571" style="102" customWidth="1"/>
    <col min="5" max="5" width="8.40952380952381" style="102" customWidth="1"/>
    <col min="6" max="7" width="8.57142857142857" style="102" customWidth="1"/>
    <col min="8" max="8" width="8.14285714285714" style="102" customWidth="1"/>
    <col min="9" max="9" width="12.7142857142857" style="99" customWidth="1"/>
    <col min="10" max="10" width="11.8571428571429" style="99" customWidth="1"/>
    <col min="11" max="11" width="8.14285714285714" style="99" customWidth="1"/>
    <col min="12" max="1024" width="9.13333333333333" style="99"/>
  </cols>
  <sheetData>
    <row r="1" spans="1:11">
      <c r="A1" s="94" t="s">
        <v>0</v>
      </c>
      <c r="B1" s="94"/>
      <c r="C1" s="94"/>
      <c r="D1" s="94"/>
      <c r="E1" s="94"/>
      <c r="F1" s="94"/>
      <c r="G1" s="94"/>
      <c r="H1" s="94"/>
      <c r="I1" s="94"/>
      <c r="J1" s="94"/>
      <c r="K1" s="94"/>
    </row>
    <row r="2" spans="1:11">
      <c r="A2" s="105" t="s">
        <v>1</v>
      </c>
      <c r="B2" s="105"/>
      <c r="C2" s="95" t="s">
        <v>2</v>
      </c>
      <c r="D2" s="95"/>
      <c r="E2" s="95"/>
      <c r="F2" s="95"/>
      <c r="G2" s="95"/>
      <c r="H2" s="95"/>
      <c r="I2" s="95"/>
      <c r="J2" s="95"/>
      <c r="K2" s="95"/>
    </row>
    <row r="3" spans="1:11">
      <c r="A3" s="105" t="s">
        <v>3</v>
      </c>
      <c r="B3" s="105"/>
      <c r="C3" s="96" t="s">
        <v>4</v>
      </c>
      <c r="D3" s="96"/>
      <c r="E3" s="96"/>
      <c r="F3" s="96"/>
      <c r="G3" s="96"/>
      <c r="H3" s="96"/>
      <c r="I3" s="96"/>
      <c r="J3" s="96"/>
      <c r="K3" s="96"/>
    </row>
    <row r="4" spans="1:11">
      <c r="A4" s="97"/>
      <c r="B4" s="97"/>
      <c r="C4" s="98" t="s">
        <v>5</v>
      </c>
      <c r="D4" s="98"/>
      <c r="E4" s="98"/>
      <c r="F4" s="98" t="s">
        <v>6</v>
      </c>
      <c r="G4" s="98"/>
      <c r="H4" s="98"/>
      <c r="I4" s="97"/>
      <c r="J4" s="97"/>
      <c r="K4" s="105"/>
    </row>
    <row r="5" spans="1:11">
      <c r="A5" s="105"/>
      <c r="B5" s="94"/>
      <c r="C5" s="94" t="s">
        <v>7</v>
      </c>
      <c r="D5" s="94" t="s">
        <v>8</v>
      </c>
      <c r="E5" s="94" t="s">
        <v>9</v>
      </c>
      <c r="F5" s="94" t="s">
        <v>7</v>
      </c>
      <c r="G5" s="94" t="s">
        <v>10</v>
      </c>
      <c r="H5" s="94" t="s">
        <v>9</v>
      </c>
      <c r="I5" s="106" t="s">
        <v>11</v>
      </c>
      <c r="J5" s="106" t="s">
        <v>12</v>
      </c>
      <c r="K5" s="94" t="s">
        <v>13</v>
      </c>
    </row>
    <row r="6" s="108" customFormat="1" ht="12.75" spans="1:11">
      <c r="A6" s="110">
        <v>1</v>
      </c>
      <c r="B6" s="110" t="s">
        <v>14</v>
      </c>
      <c r="C6" s="111">
        <v>0</v>
      </c>
      <c r="D6" s="111">
        <v>0</v>
      </c>
      <c r="E6" s="111">
        <f t="shared" ref="E6:E36" si="0">D6-C6</f>
        <v>0</v>
      </c>
      <c r="F6" s="111">
        <v>0</v>
      </c>
      <c r="G6" s="111">
        <v>0</v>
      </c>
      <c r="H6" s="111">
        <f t="shared" ref="H6:H36" si="1">G6-F6</f>
        <v>0</v>
      </c>
      <c r="I6" s="117">
        <v>0</v>
      </c>
      <c r="J6" s="117">
        <f t="shared" ref="J6:J36" si="2">E6+H6</f>
        <v>0</v>
      </c>
      <c r="K6" s="117">
        <f t="shared" ref="K6:K36" si="3">J6-I6</f>
        <v>0</v>
      </c>
    </row>
    <row r="7" s="108" customFormat="1" ht="12.75" spans="1:11">
      <c r="A7" s="48">
        <v>2</v>
      </c>
      <c r="B7" s="48" t="s">
        <v>15</v>
      </c>
      <c r="C7" s="50">
        <v>0.333333333333333</v>
      </c>
      <c r="D7" s="50">
        <v>0.5</v>
      </c>
      <c r="E7" s="50">
        <f t="shared" si="0"/>
        <v>0.166666666666667</v>
      </c>
      <c r="F7" s="50">
        <v>0.583333333333333</v>
      </c>
      <c r="G7" s="50">
        <v>0.791666666666667</v>
      </c>
      <c r="H7" s="50">
        <f t="shared" si="1"/>
        <v>0.208333333333334</v>
      </c>
      <c r="I7" s="64">
        <v>0.333333333333333</v>
      </c>
      <c r="J7" s="115">
        <f t="shared" si="2"/>
        <v>0.375000000000001</v>
      </c>
      <c r="K7" s="64">
        <f t="shared" si="3"/>
        <v>0.041666666666668</v>
      </c>
    </row>
    <row r="8" spans="1:11">
      <c r="A8" s="48">
        <v>3</v>
      </c>
      <c r="B8" s="48" t="s">
        <v>16</v>
      </c>
      <c r="C8" s="50">
        <v>0.333333333333333</v>
      </c>
      <c r="D8" s="50">
        <v>0.5</v>
      </c>
      <c r="E8" s="50">
        <f t="shared" si="0"/>
        <v>0.166666666666667</v>
      </c>
      <c r="F8" s="50">
        <v>0.583333333333333</v>
      </c>
      <c r="G8" s="50">
        <v>0.916666666666667</v>
      </c>
      <c r="H8" s="50">
        <f t="shared" si="1"/>
        <v>0.333333333333334</v>
      </c>
      <c r="I8" s="64">
        <v>0.333333333333333</v>
      </c>
      <c r="J8" s="115">
        <f t="shared" si="2"/>
        <v>0.500000000000001</v>
      </c>
      <c r="K8" s="64">
        <f t="shared" si="3"/>
        <v>0.166666666666668</v>
      </c>
    </row>
    <row r="9" spans="1:13">
      <c r="A9" s="48">
        <v>4</v>
      </c>
      <c r="B9" s="48" t="s">
        <v>17</v>
      </c>
      <c r="C9" s="50">
        <v>0.333333333333333</v>
      </c>
      <c r="D9" s="50">
        <v>0.5</v>
      </c>
      <c r="E9" s="50">
        <f t="shared" si="0"/>
        <v>0.166666666666667</v>
      </c>
      <c r="F9" s="50">
        <v>0.583333333333333</v>
      </c>
      <c r="G9" s="50">
        <v>0.833333333333333</v>
      </c>
      <c r="H9" s="50">
        <f t="shared" si="1"/>
        <v>0.25</v>
      </c>
      <c r="I9" s="64">
        <v>0.333333333333333</v>
      </c>
      <c r="J9" s="115">
        <f t="shared" si="2"/>
        <v>0.416666666666667</v>
      </c>
      <c r="K9" s="64">
        <f t="shared" si="3"/>
        <v>0.083333333333334</v>
      </c>
      <c r="M9" s="107"/>
    </row>
    <row r="10" spans="1:13">
      <c r="A10" s="48">
        <v>5</v>
      </c>
      <c r="B10" s="48" t="s">
        <v>18</v>
      </c>
      <c r="C10" s="50">
        <v>0.333333333333333</v>
      </c>
      <c r="D10" s="50">
        <v>0.5</v>
      </c>
      <c r="E10" s="50">
        <f t="shared" si="0"/>
        <v>0.166666666666667</v>
      </c>
      <c r="F10" s="50">
        <v>0.583333333333333</v>
      </c>
      <c r="G10" s="50">
        <v>0.833333333333333</v>
      </c>
      <c r="H10" s="50">
        <f t="shared" si="1"/>
        <v>0.25</v>
      </c>
      <c r="I10" s="64">
        <v>0.333333333333333</v>
      </c>
      <c r="J10" s="115">
        <f t="shared" si="2"/>
        <v>0.416666666666667</v>
      </c>
      <c r="K10" s="64">
        <f t="shared" si="3"/>
        <v>0.083333333333334</v>
      </c>
      <c r="M10" s="107"/>
    </row>
    <row r="11" spans="1:11">
      <c r="A11" s="48">
        <v>6</v>
      </c>
      <c r="B11" s="48" t="s">
        <v>19</v>
      </c>
      <c r="C11" s="50">
        <v>0.333333333333333</v>
      </c>
      <c r="D11" s="50">
        <v>0.5</v>
      </c>
      <c r="E11" s="50">
        <f t="shared" si="0"/>
        <v>0.166666666666667</v>
      </c>
      <c r="F11" s="50">
        <v>0.583333333333333</v>
      </c>
      <c r="G11" s="50">
        <v>0.791666666666667</v>
      </c>
      <c r="H11" s="50">
        <f t="shared" si="1"/>
        <v>0.208333333333334</v>
      </c>
      <c r="I11" s="64">
        <v>0.333333333333333</v>
      </c>
      <c r="J11" s="115">
        <f t="shared" si="2"/>
        <v>0.375000000000001</v>
      </c>
      <c r="K11" s="64">
        <f t="shared" si="3"/>
        <v>0.041666666666668</v>
      </c>
    </row>
    <row r="12" spans="1:11">
      <c r="A12" s="48">
        <v>7</v>
      </c>
      <c r="B12" s="48" t="s">
        <v>20</v>
      </c>
      <c r="C12" s="50">
        <v>0.333333333333333</v>
      </c>
      <c r="D12" s="50">
        <v>0.541666666666667</v>
      </c>
      <c r="E12" s="50">
        <f t="shared" si="0"/>
        <v>0.208333333333334</v>
      </c>
      <c r="F12" s="50">
        <v>0</v>
      </c>
      <c r="G12" s="50">
        <v>0</v>
      </c>
      <c r="H12" s="50">
        <f t="shared" si="1"/>
        <v>0</v>
      </c>
      <c r="I12" s="64">
        <v>0.166666666666667</v>
      </c>
      <c r="J12" s="115">
        <f t="shared" si="2"/>
        <v>0.208333333333334</v>
      </c>
      <c r="K12" s="91">
        <f t="shared" si="3"/>
        <v>0.041666666666667</v>
      </c>
    </row>
    <row r="13" s="108" customFormat="1" ht="12.75" spans="1:11">
      <c r="A13" s="88">
        <v>8</v>
      </c>
      <c r="B13" s="88" t="s">
        <v>14</v>
      </c>
      <c r="C13" s="90">
        <v>0</v>
      </c>
      <c r="D13" s="90">
        <v>0</v>
      </c>
      <c r="E13" s="90">
        <f t="shared" si="0"/>
        <v>0</v>
      </c>
      <c r="F13" s="90">
        <v>0</v>
      </c>
      <c r="G13" s="90">
        <v>0</v>
      </c>
      <c r="H13" s="90">
        <f t="shared" si="1"/>
        <v>0</v>
      </c>
      <c r="I13" s="91">
        <v>0</v>
      </c>
      <c r="J13" s="117">
        <f t="shared" si="2"/>
        <v>0</v>
      </c>
      <c r="K13" s="91">
        <f t="shared" si="3"/>
        <v>0</v>
      </c>
    </row>
    <row r="14" s="108" customFormat="1" ht="12.75" spans="1:11">
      <c r="A14" s="48">
        <v>9</v>
      </c>
      <c r="B14" s="48" t="s">
        <v>15</v>
      </c>
      <c r="C14" s="50">
        <v>0.333333333333333</v>
      </c>
      <c r="D14" s="50">
        <v>0.5</v>
      </c>
      <c r="E14" s="50">
        <f t="shared" si="0"/>
        <v>0.166666666666667</v>
      </c>
      <c r="F14" s="50">
        <v>0.583333333333333</v>
      </c>
      <c r="G14" s="50">
        <v>0.791666666666667</v>
      </c>
      <c r="H14" s="50">
        <f t="shared" si="1"/>
        <v>0.208333333333334</v>
      </c>
      <c r="I14" s="64">
        <v>0.333333333333333</v>
      </c>
      <c r="J14" s="115">
        <f t="shared" si="2"/>
        <v>0.375000000000001</v>
      </c>
      <c r="K14" s="64">
        <f t="shared" si="3"/>
        <v>0.041666666666668</v>
      </c>
    </row>
    <row r="15" spans="1:11">
      <c r="A15" s="48">
        <v>10</v>
      </c>
      <c r="B15" s="48" t="s">
        <v>16</v>
      </c>
      <c r="C15" s="50">
        <v>0.333333333333333</v>
      </c>
      <c r="D15" s="50">
        <v>0.5</v>
      </c>
      <c r="E15" s="50">
        <f t="shared" si="0"/>
        <v>0.166666666666667</v>
      </c>
      <c r="F15" s="50">
        <v>0.583333333333333</v>
      </c>
      <c r="G15" s="50">
        <v>0.791666666666667</v>
      </c>
      <c r="H15" s="50">
        <f t="shared" si="1"/>
        <v>0.208333333333334</v>
      </c>
      <c r="I15" s="64">
        <v>0.333333333333333</v>
      </c>
      <c r="J15" s="115">
        <f t="shared" si="2"/>
        <v>0.375000000000001</v>
      </c>
      <c r="K15" s="64">
        <f t="shared" si="3"/>
        <v>0.041666666666668</v>
      </c>
    </row>
    <row r="16" spans="1:11">
      <c r="A16" s="48">
        <v>11</v>
      </c>
      <c r="B16" s="48" t="s">
        <v>17</v>
      </c>
      <c r="C16" s="50">
        <v>0.333333333333333</v>
      </c>
      <c r="D16" s="50">
        <v>0.5</v>
      </c>
      <c r="E16" s="50">
        <f t="shared" si="0"/>
        <v>0.166666666666667</v>
      </c>
      <c r="F16" s="50">
        <v>0.583333333333333</v>
      </c>
      <c r="G16" s="50">
        <v>0.791666666666667</v>
      </c>
      <c r="H16" s="50">
        <f t="shared" si="1"/>
        <v>0.208333333333334</v>
      </c>
      <c r="I16" s="64">
        <v>0.333333333333333</v>
      </c>
      <c r="J16" s="115">
        <f t="shared" si="2"/>
        <v>0.375000000000001</v>
      </c>
      <c r="K16" s="64">
        <f t="shared" si="3"/>
        <v>0.041666666666668</v>
      </c>
    </row>
    <row r="17" spans="1:11">
      <c r="A17" s="48">
        <v>12</v>
      </c>
      <c r="B17" s="48" t="s">
        <v>18</v>
      </c>
      <c r="C17" s="50">
        <v>0.333333333333333</v>
      </c>
      <c r="D17" s="50">
        <v>0.5</v>
      </c>
      <c r="E17" s="50">
        <f t="shared" si="0"/>
        <v>0.166666666666667</v>
      </c>
      <c r="F17" s="50">
        <v>0.583333333333333</v>
      </c>
      <c r="G17" s="50">
        <v>0.75</v>
      </c>
      <c r="H17" s="50">
        <f t="shared" si="1"/>
        <v>0.166666666666667</v>
      </c>
      <c r="I17" s="64">
        <v>0.333333333333333</v>
      </c>
      <c r="J17" s="115">
        <f t="shared" si="2"/>
        <v>0.333333333333334</v>
      </c>
      <c r="K17" s="64">
        <f t="shared" si="3"/>
        <v>9.99200722162641e-16</v>
      </c>
    </row>
    <row r="18" spans="1:11">
      <c r="A18" s="48">
        <v>13</v>
      </c>
      <c r="B18" s="48" t="s">
        <v>19</v>
      </c>
      <c r="C18" s="50">
        <v>0.333333333333333</v>
      </c>
      <c r="D18" s="50">
        <v>0.5</v>
      </c>
      <c r="E18" s="50">
        <f t="shared" si="0"/>
        <v>0.166666666666667</v>
      </c>
      <c r="F18" s="50">
        <v>0.583333333333333</v>
      </c>
      <c r="G18" s="50">
        <v>0.791666666666667</v>
      </c>
      <c r="H18" s="50">
        <f t="shared" si="1"/>
        <v>0.208333333333334</v>
      </c>
      <c r="I18" s="64">
        <v>0.333333333333333</v>
      </c>
      <c r="J18" s="115">
        <f t="shared" si="2"/>
        <v>0.375000000000001</v>
      </c>
      <c r="K18" s="64">
        <f t="shared" si="3"/>
        <v>0.041666666666668</v>
      </c>
    </row>
    <row r="19" spans="1:11">
      <c r="A19" s="48">
        <v>14</v>
      </c>
      <c r="B19" s="48" t="s">
        <v>20</v>
      </c>
      <c r="C19" s="50">
        <v>0.333333333333333</v>
      </c>
      <c r="D19" s="50">
        <v>0.5</v>
      </c>
      <c r="E19" s="50">
        <f t="shared" si="0"/>
        <v>0.166666666666667</v>
      </c>
      <c r="F19" s="50">
        <v>0</v>
      </c>
      <c r="G19" s="50">
        <v>0</v>
      </c>
      <c r="H19" s="50">
        <f t="shared" si="1"/>
        <v>0</v>
      </c>
      <c r="I19" s="64">
        <v>0.166666666666667</v>
      </c>
      <c r="J19" s="115">
        <f t="shared" si="2"/>
        <v>0.166666666666667</v>
      </c>
      <c r="K19" s="91">
        <f t="shared" si="3"/>
        <v>0</v>
      </c>
    </row>
    <row r="20" s="108" customFormat="1" ht="12.75" spans="1:11">
      <c r="A20" s="88">
        <v>15</v>
      </c>
      <c r="B20" s="88" t="s">
        <v>14</v>
      </c>
      <c r="C20" s="90">
        <v>0</v>
      </c>
      <c r="D20" s="90">
        <v>0</v>
      </c>
      <c r="E20" s="90">
        <f t="shared" si="0"/>
        <v>0</v>
      </c>
      <c r="F20" s="90">
        <v>0</v>
      </c>
      <c r="G20" s="90">
        <v>0</v>
      </c>
      <c r="H20" s="90">
        <f t="shared" si="1"/>
        <v>0</v>
      </c>
      <c r="I20" s="91">
        <v>0</v>
      </c>
      <c r="J20" s="117">
        <f t="shared" si="2"/>
        <v>0</v>
      </c>
      <c r="K20" s="91">
        <f t="shared" si="3"/>
        <v>0</v>
      </c>
    </row>
    <row r="21" s="108" customFormat="1" ht="12.75" spans="1:11">
      <c r="A21" s="48">
        <v>16</v>
      </c>
      <c r="B21" s="48" t="s">
        <v>15</v>
      </c>
      <c r="C21" s="50">
        <v>0.333333333333333</v>
      </c>
      <c r="D21" s="50">
        <v>0.5</v>
      </c>
      <c r="E21" s="50">
        <f t="shared" si="0"/>
        <v>0.166666666666667</v>
      </c>
      <c r="F21" s="50">
        <v>0.583333333333333</v>
      </c>
      <c r="G21" s="50">
        <v>0.791666666666667</v>
      </c>
      <c r="H21" s="50">
        <f t="shared" si="1"/>
        <v>0.208333333333334</v>
      </c>
      <c r="I21" s="64">
        <v>0.333333333333333</v>
      </c>
      <c r="J21" s="115">
        <f t="shared" si="2"/>
        <v>0.375000000000001</v>
      </c>
      <c r="K21" s="64">
        <f t="shared" si="3"/>
        <v>0.041666666666668</v>
      </c>
    </row>
    <row r="22" spans="1:11">
      <c r="A22" s="48">
        <v>17</v>
      </c>
      <c r="B22" s="48" t="s">
        <v>16</v>
      </c>
      <c r="C22" s="50">
        <v>0.333333333333333</v>
      </c>
      <c r="D22" s="50">
        <v>0.5</v>
      </c>
      <c r="E22" s="50">
        <f t="shared" si="0"/>
        <v>0.166666666666667</v>
      </c>
      <c r="F22" s="50">
        <v>0.583333333333333</v>
      </c>
      <c r="G22" s="50">
        <v>0.833333333333333</v>
      </c>
      <c r="H22" s="50">
        <f t="shared" si="1"/>
        <v>0.25</v>
      </c>
      <c r="I22" s="64">
        <v>0.333333333333333</v>
      </c>
      <c r="J22" s="115">
        <f t="shared" si="2"/>
        <v>0.416666666666667</v>
      </c>
      <c r="K22" s="64">
        <f t="shared" si="3"/>
        <v>0.083333333333334</v>
      </c>
    </row>
    <row r="23" spans="1:11">
      <c r="A23" s="48">
        <v>18</v>
      </c>
      <c r="B23" s="48" t="s">
        <v>17</v>
      </c>
      <c r="C23" s="50">
        <v>0.333333333333333</v>
      </c>
      <c r="D23" s="50">
        <v>0.5</v>
      </c>
      <c r="E23" s="50">
        <f t="shared" si="0"/>
        <v>0.166666666666667</v>
      </c>
      <c r="F23" s="50">
        <v>0.583333333333333</v>
      </c>
      <c r="G23" s="50">
        <v>0.75</v>
      </c>
      <c r="H23" s="50">
        <f t="shared" si="1"/>
        <v>0.166666666666667</v>
      </c>
      <c r="I23" s="64">
        <v>0.333333333333333</v>
      </c>
      <c r="J23" s="115">
        <f t="shared" si="2"/>
        <v>0.333333333333334</v>
      </c>
      <c r="K23" s="64">
        <f t="shared" si="3"/>
        <v>9.99200722162641e-16</v>
      </c>
    </row>
    <row r="24" spans="1:11">
      <c r="A24" s="48">
        <v>19</v>
      </c>
      <c r="B24" s="48" t="s">
        <v>18</v>
      </c>
      <c r="C24" s="50">
        <v>0.333333333333333</v>
      </c>
      <c r="D24" s="50">
        <v>0.5</v>
      </c>
      <c r="E24" s="50">
        <f t="shared" si="0"/>
        <v>0.166666666666667</v>
      </c>
      <c r="F24" s="50">
        <v>0.583333333333333</v>
      </c>
      <c r="G24" s="50">
        <v>0.791666666666667</v>
      </c>
      <c r="H24" s="50">
        <f t="shared" si="1"/>
        <v>0.208333333333334</v>
      </c>
      <c r="I24" s="64">
        <v>0.333333333333333</v>
      </c>
      <c r="J24" s="115">
        <f t="shared" si="2"/>
        <v>0.375000000000001</v>
      </c>
      <c r="K24" s="64">
        <f t="shared" si="3"/>
        <v>0.041666666666668</v>
      </c>
    </row>
    <row r="25" spans="1:11">
      <c r="A25" s="48">
        <v>20</v>
      </c>
      <c r="B25" s="48" t="s">
        <v>19</v>
      </c>
      <c r="C25" s="50">
        <v>0.333333333333333</v>
      </c>
      <c r="D25" s="50">
        <v>0.5</v>
      </c>
      <c r="E25" s="50">
        <f t="shared" si="0"/>
        <v>0.166666666666667</v>
      </c>
      <c r="F25" s="50">
        <v>0.583333333333333</v>
      </c>
      <c r="G25" s="50">
        <v>0.791666666666667</v>
      </c>
      <c r="H25" s="50">
        <f t="shared" si="1"/>
        <v>0.208333333333334</v>
      </c>
      <c r="I25" s="64">
        <v>0.333333333333333</v>
      </c>
      <c r="J25" s="115">
        <f t="shared" si="2"/>
        <v>0.375000000000001</v>
      </c>
      <c r="K25" s="64">
        <f t="shared" si="3"/>
        <v>0.041666666666668</v>
      </c>
    </row>
    <row r="26" spans="1:11">
      <c r="A26" s="48">
        <v>21</v>
      </c>
      <c r="B26" s="48" t="s">
        <v>20</v>
      </c>
      <c r="C26" s="50">
        <v>0.333333333333333</v>
      </c>
      <c r="D26" s="50">
        <v>0.541666666666667</v>
      </c>
      <c r="E26" s="50">
        <f t="shared" si="0"/>
        <v>0.208333333333334</v>
      </c>
      <c r="F26" s="50">
        <v>0</v>
      </c>
      <c r="G26" s="50">
        <v>0</v>
      </c>
      <c r="H26" s="50">
        <f t="shared" si="1"/>
        <v>0</v>
      </c>
      <c r="I26" s="64">
        <v>0.166666666666667</v>
      </c>
      <c r="J26" s="115">
        <f t="shared" si="2"/>
        <v>0.208333333333334</v>
      </c>
      <c r="K26" s="64">
        <f t="shared" si="3"/>
        <v>0.041666666666667</v>
      </c>
    </row>
    <row r="27" s="108" customFormat="1" ht="12.75" spans="1:11">
      <c r="A27" s="88">
        <v>22</v>
      </c>
      <c r="B27" s="88" t="s">
        <v>14</v>
      </c>
      <c r="C27" s="90">
        <v>0</v>
      </c>
      <c r="D27" s="90">
        <v>0</v>
      </c>
      <c r="E27" s="90">
        <f t="shared" si="0"/>
        <v>0</v>
      </c>
      <c r="F27" s="90">
        <v>0</v>
      </c>
      <c r="G27" s="90">
        <v>0</v>
      </c>
      <c r="H27" s="90">
        <f t="shared" si="1"/>
        <v>0</v>
      </c>
      <c r="I27" s="91">
        <v>0</v>
      </c>
      <c r="J27" s="117">
        <f t="shared" si="2"/>
        <v>0</v>
      </c>
      <c r="K27" s="91">
        <f t="shared" si="3"/>
        <v>0</v>
      </c>
    </row>
    <row r="28" s="108" customFormat="1" ht="12.75" spans="1:11">
      <c r="A28" s="48">
        <v>23</v>
      </c>
      <c r="B28" s="48" t="s">
        <v>15</v>
      </c>
      <c r="C28" s="50">
        <v>0.333333333333333</v>
      </c>
      <c r="D28" s="50">
        <v>0.5</v>
      </c>
      <c r="E28" s="50">
        <f t="shared" si="0"/>
        <v>0.166666666666667</v>
      </c>
      <c r="F28" s="50">
        <v>0.583333333333333</v>
      </c>
      <c r="G28" s="50">
        <v>0.791666666666667</v>
      </c>
      <c r="H28" s="50">
        <f t="shared" si="1"/>
        <v>0.208333333333334</v>
      </c>
      <c r="I28" s="64">
        <v>0.333333333333333</v>
      </c>
      <c r="J28" s="115">
        <f t="shared" si="2"/>
        <v>0.375000000000001</v>
      </c>
      <c r="K28" s="64">
        <f t="shared" si="3"/>
        <v>0.041666666666668</v>
      </c>
    </row>
    <row r="29" spans="1:11">
      <c r="A29" s="48">
        <v>24</v>
      </c>
      <c r="B29" s="48" t="s">
        <v>16</v>
      </c>
      <c r="C29" s="50">
        <v>0.333333333333333</v>
      </c>
      <c r="D29" s="50">
        <v>0.5</v>
      </c>
      <c r="E29" s="50">
        <f t="shared" si="0"/>
        <v>0.166666666666667</v>
      </c>
      <c r="F29" s="50">
        <v>0.583333333333333</v>
      </c>
      <c r="G29" s="50">
        <v>0.833333333333333</v>
      </c>
      <c r="H29" s="50">
        <f t="shared" si="1"/>
        <v>0.25</v>
      </c>
      <c r="I29" s="64">
        <v>0.333333333333333</v>
      </c>
      <c r="J29" s="115">
        <f t="shared" si="2"/>
        <v>0.416666666666667</v>
      </c>
      <c r="K29" s="64">
        <f t="shared" si="3"/>
        <v>0.083333333333334</v>
      </c>
    </row>
    <row r="30" spans="1:11">
      <c r="A30" s="48">
        <v>25</v>
      </c>
      <c r="B30" s="48" t="s">
        <v>17</v>
      </c>
      <c r="C30" s="50">
        <v>0.333333333333333</v>
      </c>
      <c r="D30" s="50">
        <v>0.5</v>
      </c>
      <c r="E30" s="50">
        <f t="shared" si="0"/>
        <v>0.166666666666667</v>
      </c>
      <c r="F30" s="50">
        <v>0.583333333333333</v>
      </c>
      <c r="G30" s="50">
        <v>0.75</v>
      </c>
      <c r="H30" s="50">
        <f t="shared" si="1"/>
        <v>0.166666666666667</v>
      </c>
      <c r="I30" s="64">
        <v>0.333333333333333</v>
      </c>
      <c r="J30" s="115">
        <f t="shared" si="2"/>
        <v>0.333333333333334</v>
      </c>
      <c r="K30" s="64">
        <f t="shared" si="3"/>
        <v>9.99200722162641e-16</v>
      </c>
    </row>
    <row r="31" spans="1:11">
      <c r="A31" s="48">
        <v>26</v>
      </c>
      <c r="B31" s="48" t="s">
        <v>18</v>
      </c>
      <c r="C31" s="50">
        <v>0.333333333333333</v>
      </c>
      <c r="D31" s="50">
        <v>0.5</v>
      </c>
      <c r="E31" s="50">
        <f t="shared" si="0"/>
        <v>0.166666666666667</v>
      </c>
      <c r="F31" s="50">
        <v>0.583333333333333</v>
      </c>
      <c r="G31" s="50">
        <v>0.791666666666667</v>
      </c>
      <c r="H31" s="50">
        <f t="shared" si="1"/>
        <v>0.208333333333334</v>
      </c>
      <c r="I31" s="64">
        <v>0.333333333333333</v>
      </c>
      <c r="J31" s="115">
        <f t="shared" si="2"/>
        <v>0.375000000000001</v>
      </c>
      <c r="K31" s="64">
        <f t="shared" si="3"/>
        <v>0.041666666666668</v>
      </c>
    </row>
    <row r="32" spans="1:11">
      <c r="A32" s="48">
        <v>27</v>
      </c>
      <c r="B32" s="48" t="s">
        <v>19</v>
      </c>
      <c r="C32" s="50">
        <v>0.333333333333333</v>
      </c>
      <c r="D32" s="50">
        <v>0.5</v>
      </c>
      <c r="E32" s="50">
        <f t="shared" si="0"/>
        <v>0.166666666666667</v>
      </c>
      <c r="F32" s="50">
        <v>0.583333333333333</v>
      </c>
      <c r="G32" s="50">
        <v>0.791666666666667</v>
      </c>
      <c r="H32" s="50">
        <f t="shared" si="1"/>
        <v>0.208333333333334</v>
      </c>
      <c r="I32" s="64">
        <v>0.333333333333333</v>
      </c>
      <c r="J32" s="115">
        <f t="shared" si="2"/>
        <v>0.375000000000001</v>
      </c>
      <c r="K32" s="64">
        <f t="shared" si="3"/>
        <v>0.041666666666668</v>
      </c>
    </row>
    <row r="33" spans="1:11">
      <c r="A33" s="48">
        <v>28</v>
      </c>
      <c r="B33" s="48" t="s">
        <v>20</v>
      </c>
      <c r="C33" s="50">
        <v>0.333333333333333</v>
      </c>
      <c r="D33" s="50">
        <v>0.541666666666667</v>
      </c>
      <c r="E33" s="50">
        <f t="shared" si="0"/>
        <v>0.208333333333334</v>
      </c>
      <c r="F33" s="50">
        <v>0</v>
      </c>
      <c r="G33" s="50">
        <v>0</v>
      </c>
      <c r="H33" s="50">
        <f t="shared" si="1"/>
        <v>0</v>
      </c>
      <c r="I33" s="64">
        <v>0.166666666666667</v>
      </c>
      <c r="J33" s="115">
        <f t="shared" si="2"/>
        <v>0.208333333333334</v>
      </c>
      <c r="K33" s="64">
        <f t="shared" si="3"/>
        <v>0.041666666666667</v>
      </c>
    </row>
    <row r="34" s="108" customFormat="1" ht="12.75" spans="1:11">
      <c r="A34" s="88">
        <v>29</v>
      </c>
      <c r="B34" s="88" t="s">
        <v>14</v>
      </c>
      <c r="C34" s="90">
        <v>0</v>
      </c>
      <c r="D34" s="90">
        <v>0</v>
      </c>
      <c r="E34" s="90">
        <f t="shared" si="0"/>
        <v>0</v>
      </c>
      <c r="F34" s="90">
        <v>0</v>
      </c>
      <c r="G34" s="90">
        <v>0</v>
      </c>
      <c r="H34" s="90">
        <f t="shared" si="1"/>
        <v>0</v>
      </c>
      <c r="I34" s="91">
        <v>0</v>
      </c>
      <c r="J34" s="117">
        <f t="shared" si="2"/>
        <v>0</v>
      </c>
      <c r="K34" s="91">
        <f t="shared" si="3"/>
        <v>0</v>
      </c>
    </row>
    <row r="35" s="108" customFormat="1" ht="12.75" spans="1:11">
      <c r="A35" s="48">
        <v>30</v>
      </c>
      <c r="B35" s="48" t="s">
        <v>15</v>
      </c>
      <c r="C35" s="50">
        <v>0.333333333333333</v>
      </c>
      <c r="D35" s="50">
        <v>0.5</v>
      </c>
      <c r="E35" s="50">
        <f t="shared" si="0"/>
        <v>0.166666666666667</v>
      </c>
      <c r="F35" s="50">
        <v>0.583333333333333</v>
      </c>
      <c r="G35" s="50">
        <v>0.791666666666667</v>
      </c>
      <c r="H35" s="50">
        <f t="shared" si="1"/>
        <v>0.208333333333334</v>
      </c>
      <c r="I35" s="64">
        <v>0.333333333333333</v>
      </c>
      <c r="J35" s="115">
        <f t="shared" si="2"/>
        <v>0.375000000000001</v>
      </c>
      <c r="K35" s="64">
        <f t="shared" si="3"/>
        <v>0.041666666666668</v>
      </c>
    </row>
    <row r="36" spans="1:11">
      <c r="A36" s="48">
        <v>31</v>
      </c>
      <c r="B36" s="48" t="s">
        <v>16</v>
      </c>
      <c r="C36" s="50">
        <v>0.333333333333333</v>
      </c>
      <c r="D36" s="50">
        <v>0.5</v>
      </c>
      <c r="E36" s="50">
        <f t="shared" si="0"/>
        <v>0.166666666666667</v>
      </c>
      <c r="F36" s="50">
        <v>0.583333333333333</v>
      </c>
      <c r="G36" s="50">
        <v>0.833333333333333</v>
      </c>
      <c r="H36" s="50">
        <f t="shared" si="1"/>
        <v>0.25</v>
      </c>
      <c r="I36" s="64">
        <v>0.333333333333333</v>
      </c>
      <c r="J36" s="115">
        <f t="shared" si="2"/>
        <v>0.416666666666667</v>
      </c>
      <c r="K36" s="64">
        <f t="shared" si="3"/>
        <v>0.083333333333334</v>
      </c>
    </row>
    <row r="37" spans="1:11">
      <c r="A37" s="92"/>
      <c r="B37" s="48"/>
      <c r="C37" s="50"/>
      <c r="D37" s="50"/>
      <c r="E37" s="50"/>
      <c r="F37" s="50"/>
      <c r="G37" s="50"/>
      <c r="H37" s="50"/>
      <c r="I37" s="64"/>
      <c r="J37" s="64"/>
      <c r="K37" s="48"/>
    </row>
    <row r="38" spans="1:11">
      <c r="A38" s="105"/>
      <c r="B38" s="76"/>
      <c r="C38" s="109"/>
      <c r="D38" s="109"/>
      <c r="E38" s="109"/>
      <c r="F38" s="109"/>
      <c r="G38" s="109"/>
      <c r="H38" s="109"/>
      <c r="I38" s="115">
        <f>SUM(I6:I36)</f>
        <v>7.99999999999999</v>
      </c>
      <c r="J38" s="115">
        <f>SUM(J6:J36)</f>
        <v>9.25000000000002</v>
      </c>
      <c r="K38" s="115">
        <f>J38-I38</f>
        <v>1.25000000000003</v>
      </c>
    </row>
    <row r="39" spans="3:10">
      <c r="C39" s="100"/>
      <c r="D39" s="100"/>
      <c r="E39" s="100"/>
      <c r="F39" s="100"/>
      <c r="G39" s="100"/>
      <c r="H39" s="100"/>
      <c r="I39" s="107"/>
      <c r="J39" s="107"/>
    </row>
    <row r="40" spans="1:10">
      <c r="A40" s="101" t="s">
        <v>21</v>
      </c>
      <c r="B40" s="101"/>
      <c r="C40" s="100">
        <f>J38</f>
        <v>9.25000000000002</v>
      </c>
      <c r="D40" s="100"/>
      <c r="E40" s="100"/>
      <c r="F40" s="100"/>
      <c r="G40" s="100"/>
      <c r="H40" s="100"/>
      <c r="I40" s="107"/>
      <c r="J40" s="107"/>
    </row>
    <row r="41" spans="1:11">
      <c r="A41" s="101" t="s">
        <v>22</v>
      </c>
      <c r="B41" s="101"/>
      <c r="C41" s="100">
        <f>I38</f>
        <v>7.99999999999999</v>
      </c>
      <c r="F41" s="120"/>
      <c r="G41" s="121"/>
      <c r="H41" s="120"/>
      <c r="I41" s="123"/>
      <c r="J41" s="123"/>
      <c r="K41" s="123"/>
    </row>
    <row r="42" spans="1:11">
      <c r="A42" s="103"/>
      <c r="B42" s="103"/>
      <c r="F42" s="122"/>
      <c r="G42" s="121"/>
      <c r="H42" s="120"/>
      <c r="I42" s="123"/>
      <c r="J42" s="123"/>
      <c r="K42" s="124"/>
    </row>
    <row r="43" spans="2:11">
      <c r="B43" s="99" t="s">
        <v>13</v>
      </c>
      <c r="C43" s="100">
        <f>C40-C41</f>
        <v>1.25000000000003</v>
      </c>
      <c r="F43" s="120"/>
      <c r="G43" s="121"/>
      <c r="H43" s="120"/>
      <c r="I43" s="123"/>
      <c r="J43" s="123"/>
      <c r="K43" s="124"/>
    </row>
    <row r="44" spans="6:11">
      <c r="F44" s="120"/>
      <c r="G44" s="121"/>
      <c r="H44" s="120"/>
      <c r="I44" s="123"/>
      <c r="J44" s="123"/>
      <c r="K44" s="124"/>
    </row>
    <row r="45" spans="1:10">
      <c r="A45" s="104" t="s">
        <v>23</v>
      </c>
      <c r="B45" s="104"/>
      <c r="C45" s="104"/>
      <c r="D45" s="104"/>
      <c r="E45" s="104"/>
      <c r="F45" s="104"/>
      <c r="G45" s="104"/>
      <c r="H45" s="104"/>
      <c r="I45" s="104"/>
      <c r="J45" s="104"/>
    </row>
    <row r="48" spans="1:8">
      <c r="A48" s="113"/>
      <c r="B48" s="113"/>
      <c r="C48" s="114"/>
      <c r="D48" s="114"/>
      <c r="E48" s="114"/>
      <c r="F48" s="114"/>
      <c r="G48" s="114"/>
      <c r="H48" s="114"/>
    </row>
    <row r="49" spans="1:10">
      <c r="A49" s="104" t="s">
        <v>24</v>
      </c>
      <c r="B49" s="104"/>
      <c r="C49" s="104"/>
      <c r="D49" s="104"/>
      <c r="E49" s="104"/>
      <c r="F49" s="104"/>
      <c r="G49" s="104"/>
      <c r="H49" s="104"/>
      <c r="I49" s="104"/>
      <c r="J49" s="104"/>
    </row>
  </sheetData>
  <mergeCells count="9">
    <mergeCell ref="A1:K1"/>
    <mergeCell ref="C2:K2"/>
    <mergeCell ref="C3:K3"/>
    <mergeCell ref="C4:E4"/>
    <mergeCell ref="F4:H4"/>
    <mergeCell ref="A40:B40"/>
    <mergeCell ref="A41:B41"/>
    <mergeCell ref="A45:J45"/>
    <mergeCell ref="A49:J49"/>
  </mergeCells>
  <pageMargins left="0.118055555555556" right="0.118055555555556" top="0.39375" bottom="0.39375" header="0.511805555555555" footer="0.511805555555555"/>
  <pageSetup paperSize="9" firstPageNumber="0" orientation="portrait" useFirstPageNumber="1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topLeftCell="A6" workbookViewId="0">
      <selection activeCell="E47" sqref="E47"/>
    </sheetView>
  </sheetViews>
  <sheetFormatPr defaultColWidth="9.15238095238095" defaultRowHeight="15"/>
  <cols>
    <col min="1" max="1" width="2.99047619047619" style="57" customWidth="1"/>
    <col min="2" max="2" width="14.152380952381" style="99" customWidth="1"/>
    <col min="3" max="3" width="9.13333333333333" style="102"/>
    <col min="4" max="4" width="8.71428571428571" style="102" customWidth="1"/>
    <col min="5" max="5" width="8.40952380952381" style="102" customWidth="1"/>
    <col min="6" max="7" width="8.57142857142857" style="102" customWidth="1"/>
    <col min="8" max="8" width="8.14285714285714" style="102" customWidth="1"/>
    <col min="9" max="9" width="12.7142857142857" style="99" customWidth="1"/>
    <col min="10" max="10" width="11.1428571428571" style="99" customWidth="1"/>
    <col min="11" max="11" width="9.71428571428571" style="99" customWidth="1"/>
    <col min="12" max="1024" width="9.13333333333333" style="99"/>
  </cols>
  <sheetData>
    <row r="1" spans="1:11">
      <c r="A1" s="94" t="s">
        <v>0</v>
      </c>
      <c r="B1" s="94"/>
      <c r="C1" s="94"/>
      <c r="D1" s="94"/>
      <c r="E1" s="94"/>
      <c r="F1" s="94"/>
      <c r="G1" s="94"/>
      <c r="H1" s="94"/>
      <c r="I1" s="94"/>
      <c r="J1" s="94"/>
      <c r="K1" s="94"/>
    </row>
    <row r="2" spans="1:11">
      <c r="A2" s="76" t="s">
        <v>1</v>
      </c>
      <c r="B2" s="105"/>
      <c r="C2" s="95" t="s">
        <v>2</v>
      </c>
      <c r="D2" s="95"/>
      <c r="E2" s="95"/>
      <c r="F2" s="95"/>
      <c r="G2" s="95"/>
      <c r="H2" s="95"/>
      <c r="I2" s="95"/>
      <c r="J2" s="95"/>
      <c r="K2" s="95"/>
    </row>
    <row r="3" spans="1:11">
      <c r="A3" s="76" t="s">
        <v>3</v>
      </c>
      <c r="B3" s="105"/>
      <c r="C3" s="96" t="s">
        <v>25</v>
      </c>
      <c r="D3" s="96"/>
      <c r="E3" s="96"/>
      <c r="F3" s="96"/>
      <c r="G3" s="96"/>
      <c r="H3" s="96"/>
      <c r="I3" s="96"/>
      <c r="J3" s="96"/>
      <c r="K3" s="96"/>
    </row>
    <row r="4" spans="1:11">
      <c r="A4" s="74"/>
      <c r="B4" s="97"/>
      <c r="C4" s="98" t="s">
        <v>5</v>
      </c>
      <c r="D4" s="98"/>
      <c r="E4" s="98"/>
      <c r="F4" s="98" t="s">
        <v>6</v>
      </c>
      <c r="G4" s="98"/>
      <c r="H4" s="98"/>
      <c r="I4" s="97"/>
      <c r="J4" s="97"/>
      <c r="K4" s="105"/>
    </row>
    <row r="5" spans="1:11">
      <c r="A5" s="76"/>
      <c r="B5" s="94"/>
      <c r="C5" s="94" t="s">
        <v>7</v>
      </c>
      <c r="D5" s="94" t="s">
        <v>8</v>
      </c>
      <c r="E5" s="94" t="s">
        <v>9</v>
      </c>
      <c r="F5" s="94" t="s">
        <v>7</v>
      </c>
      <c r="G5" s="94" t="s">
        <v>10</v>
      </c>
      <c r="H5" s="94" t="s">
        <v>9</v>
      </c>
      <c r="I5" s="106" t="s">
        <v>11</v>
      </c>
      <c r="J5" s="106" t="s">
        <v>12</v>
      </c>
      <c r="K5" s="94" t="s">
        <v>13</v>
      </c>
    </row>
    <row r="6" s="108" customFormat="1" ht="12.75" spans="1:11">
      <c r="A6" s="76">
        <v>1</v>
      </c>
      <c r="B6" s="76" t="s">
        <v>17</v>
      </c>
      <c r="C6" s="109">
        <v>0.333333333333333</v>
      </c>
      <c r="D6" s="109">
        <v>0.5</v>
      </c>
      <c r="E6" s="109">
        <f>D6-C6</f>
        <v>0.166666666666667</v>
      </c>
      <c r="F6" s="109">
        <v>0.583333333333333</v>
      </c>
      <c r="G6" s="109">
        <v>0.791666666666667</v>
      </c>
      <c r="H6" s="109">
        <f t="shared" ref="H6:H35" si="0">G6-F6</f>
        <v>0.208333333333334</v>
      </c>
      <c r="I6" s="64">
        <v>0.333333333333333</v>
      </c>
      <c r="J6" s="115">
        <f t="shared" ref="J6:J35" si="1">E6+H6</f>
        <v>0.375000000000001</v>
      </c>
      <c r="K6" s="115">
        <f t="shared" ref="K6:K35" si="2">J6-I6</f>
        <v>0.041666666666668</v>
      </c>
    </row>
    <row r="7" s="108" customFormat="1" ht="12.75" spans="1:11">
      <c r="A7" s="76">
        <v>2</v>
      </c>
      <c r="B7" s="76" t="s">
        <v>18</v>
      </c>
      <c r="C7" s="109">
        <v>0.333333333333333</v>
      </c>
      <c r="D7" s="109">
        <v>0.5</v>
      </c>
      <c r="E7" s="109">
        <f>D7-C7</f>
        <v>0.166666666666667</v>
      </c>
      <c r="F7" s="109">
        <v>0.583333333333333</v>
      </c>
      <c r="G7" s="109">
        <v>0.770833333333333</v>
      </c>
      <c r="H7" s="109">
        <f t="shared" si="0"/>
        <v>0.1875</v>
      </c>
      <c r="I7" s="64">
        <v>0.333333333333333</v>
      </c>
      <c r="J7" s="115">
        <f t="shared" si="1"/>
        <v>0.354166666666667</v>
      </c>
      <c r="K7" s="115">
        <f t="shared" si="2"/>
        <v>0.020833333333334</v>
      </c>
    </row>
    <row r="8" spans="1:11">
      <c r="A8" s="76">
        <v>3</v>
      </c>
      <c r="B8" s="76" t="s">
        <v>19</v>
      </c>
      <c r="C8" s="109">
        <v>0.333333333333333</v>
      </c>
      <c r="D8" s="109">
        <v>0.5</v>
      </c>
      <c r="E8" s="109">
        <f>D8-C8</f>
        <v>0.166666666666667</v>
      </c>
      <c r="F8" s="109">
        <v>0.583333333333333</v>
      </c>
      <c r="G8" s="109">
        <v>0.895833333333333</v>
      </c>
      <c r="H8" s="109">
        <f t="shared" si="0"/>
        <v>0.3125</v>
      </c>
      <c r="I8" s="64">
        <v>0.333333333333333</v>
      </c>
      <c r="J8" s="115">
        <f t="shared" si="1"/>
        <v>0.479166666666667</v>
      </c>
      <c r="K8" s="115">
        <f t="shared" si="2"/>
        <v>0.145833333333334</v>
      </c>
    </row>
    <row r="9" spans="1:13">
      <c r="A9" s="76">
        <v>4</v>
      </c>
      <c r="B9" s="76" t="s">
        <v>20</v>
      </c>
      <c r="C9" s="109">
        <v>0.333333333333333</v>
      </c>
      <c r="D9" s="109">
        <v>0.5</v>
      </c>
      <c r="E9" s="109">
        <f>D9-C9</f>
        <v>0.166666666666667</v>
      </c>
      <c r="F9" s="109">
        <v>0.583333333333333</v>
      </c>
      <c r="G9" s="109">
        <v>0.708333333333333</v>
      </c>
      <c r="H9" s="109">
        <f t="shared" si="0"/>
        <v>0.125</v>
      </c>
      <c r="I9" s="64">
        <v>0.166666666666667</v>
      </c>
      <c r="J9" s="115">
        <f t="shared" si="1"/>
        <v>0.291666666666667</v>
      </c>
      <c r="K9" s="115">
        <f t="shared" si="2"/>
        <v>0.125</v>
      </c>
      <c r="M9" s="107"/>
    </row>
    <row r="10" s="108" customFormat="1" ht="12.75" spans="1:13">
      <c r="A10" s="110">
        <v>5</v>
      </c>
      <c r="B10" s="110" t="s">
        <v>14</v>
      </c>
      <c r="C10" s="111">
        <v>0</v>
      </c>
      <c r="D10" s="111">
        <v>0</v>
      </c>
      <c r="E10" s="111">
        <v>0</v>
      </c>
      <c r="F10" s="111">
        <v>0</v>
      </c>
      <c r="G10" s="111">
        <v>0</v>
      </c>
      <c r="H10" s="111">
        <f t="shared" si="0"/>
        <v>0</v>
      </c>
      <c r="I10" s="116">
        <v>0</v>
      </c>
      <c r="J10" s="115">
        <f t="shared" si="1"/>
        <v>0</v>
      </c>
      <c r="K10" s="117">
        <f t="shared" si="2"/>
        <v>0</v>
      </c>
      <c r="M10" s="118"/>
    </row>
    <row r="11" s="108" customFormat="1" ht="12.75" spans="1:11">
      <c r="A11" s="76">
        <v>6</v>
      </c>
      <c r="B11" s="76" t="s">
        <v>15</v>
      </c>
      <c r="C11" s="109">
        <v>0.333333333333333</v>
      </c>
      <c r="D11" s="109">
        <v>0.5</v>
      </c>
      <c r="E11" s="109">
        <f>D11-C11</f>
        <v>0.166666666666667</v>
      </c>
      <c r="F11" s="109">
        <v>0.583333333333333</v>
      </c>
      <c r="G11" s="109">
        <v>0.833333333333333</v>
      </c>
      <c r="H11" s="109">
        <f t="shared" si="0"/>
        <v>0.25</v>
      </c>
      <c r="I11" s="64">
        <v>0.333333333333333</v>
      </c>
      <c r="J11" s="115">
        <f t="shared" si="1"/>
        <v>0.416666666666667</v>
      </c>
      <c r="K11" s="115">
        <f t="shared" si="2"/>
        <v>0.083333333333334</v>
      </c>
    </row>
    <row r="12" s="57" customFormat="1" ht="12.75" spans="1:11">
      <c r="A12" s="76">
        <v>7</v>
      </c>
      <c r="B12" s="76" t="s">
        <v>16</v>
      </c>
      <c r="C12" s="109">
        <v>0</v>
      </c>
      <c r="D12" s="109">
        <v>0</v>
      </c>
      <c r="E12" s="109">
        <v>0</v>
      </c>
      <c r="F12" s="109">
        <v>0</v>
      </c>
      <c r="G12" s="109">
        <v>0</v>
      </c>
      <c r="H12" s="109">
        <f t="shared" si="0"/>
        <v>0</v>
      </c>
      <c r="I12" s="64">
        <v>0</v>
      </c>
      <c r="J12" s="115">
        <f t="shared" si="1"/>
        <v>0</v>
      </c>
      <c r="K12" s="115">
        <f t="shared" si="2"/>
        <v>0</v>
      </c>
    </row>
    <row r="13" s="108" customFormat="1" ht="12.75" spans="1:11">
      <c r="A13" s="76">
        <v>8</v>
      </c>
      <c r="B13" s="76" t="s">
        <v>17</v>
      </c>
      <c r="C13" s="109">
        <v>0.333333333333333</v>
      </c>
      <c r="D13" s="109">
        <v>0.5</v>
      </c>
      <c r="E13" s="109">
        <f>D13-C13</f>
        <v>0.166666666666667</v>
      </c>
      <c r="F13" s="109">
        <v>0.583333333333333</v>
      </c>
      <c r="G13" s="109">
        <v>0.833333333333333</v>
      </c>
      <c r="H13" s="109">
        <f t="shared" si="0"/>
        <v>0.25</v>
      </c>
      <c r="I13" s="64">
        <v>0.333333333333333</v>
      </c>
      <c r="J13" s="115">
        <f t="shared" si="1"/>
        <v>0.416666666666667</v>
      </c>
      <c r="K13" s="115">
        <f t="shared" si="2"/>
        <v>0.083333333333334</v>
      </c>
    </row>
    <row r="14" s="108" customFormat="1" ht="12.75" spans="1:11">
      <c r="A14" s="76">
        <v>9</v>
      </c>
      <c r="B14" s="76" t="s">
        <v>18</v>
      </c>
      <c r="C14" s="109">
        <v>0.333333333333333</v>
      </c>
      <c r="D14" s="109">
        <v>0.5</v>
      </c>
      <c r="E14" s="109">
        <f>D14-C14</f>
        <v>0.166666666666667</v>
      </c>
      <c r="F14" s="109">
        <v>0.583333333333333</v>
      </c>
      <c r="G14" s="109">
        <v>0.875</v>
      </c>
      <c r="H14" s="109">
        <f t="shared" si="0"/>
        <v>0.291666666666667</v>
      </c>
      <c r="I14" s="64">
        <v>0.333333333333333</v>
      </c>
      <c r="J14" s="115">
        <f t="shared" si="1"/>
        <v>0.458333333333334</v>
      </c>
      <c r="K14" s="115">
        <f t="shared" si="2"/>
        <v>0.125000000000001</v>
      </c>
    </row>
    <row r="15" spans="1:11">
      <c r="A15" s="76">
        <v>10</v>
      </c>
      <c r="B15" s="76" t="s">
        <v>19</v>
      </c>
      <c r="C15" s="109">
        <v>0.333333333333333</v>
      </c>
      <c r="D15" s="109">
        <v>0.5</v>
      </c>
      <c r="E15" s="109">
        <f>D15-C15</f>
        <v>0.166666666666667</v>
      </c>
      <c r="F15" s="109">
        <v>0.583333333333333</v>
      </c>
      <c r="G15" s="109">
        <v>0.791666666666667</v>
      </c>
      <c r="H15" s="109">
        <f t="shared" si="0"/>
        <v>0.208333333333334</v>
      </c>
      <c r="I15" s="64">
        <v>0.333333333333333</v>
      </c>
      <c r="J15" s="115">
        <f t="shared" si="1"/>
        <v>0.375000000000001</v>
      </c>
      <c r="K15" s="115">
        <f t="shared" si="2"/>
        <v>0.041666666666668</v>
      </c>
    </row>
    <row r="16" spans="1:11">
      <c r="A16" s="76">
        <v>11</v>
      </c>
      <c r="B16" s="76" t="s">
        <v>20</v>
      </c>
      <c r="C16" s="109">
        <v>0.333333333333333</v>
      </c>
      <c r="D16" s="109">
        <v>0.5</v>
      </c>
      <c r="E16" s="109">
        <f>D16-C16</f>
        <v>0.166666666666667</v>
      </c>
      <c r="F16" s="109">
        <v>0</v>
      </c>
      <c r="G16" s="109">
        <v>0</v>
      </c>
      <c r="H16" s="109">
        <f t="shared" si="0"/>
        <v>0</v>
      </c>
      <c r="I16" s="64">
        <v>0.166666666666667</v>
      </c>
      <c r="J16" s="115">
        <f t="shared" si="1"/>
        <v>0.166666666666667</v>
      </c>
      <c r="K16" s="115">
        <f t="shared" si="2"/>
        <v>0</v>
      </c>
    </row>
    <row r="17" s="108" customFormat="1" ht="12.75" spans="1:11">
      <c r="A17" s="110">
        <v>12</v>
      </c>
      <c r="B17" s="110" t="s">
        <v>14</v>
      </c>
      <c r="C17" s="111">
        <v>0</v>
      </c>
      <c r="D17" s="111">
        <v>0</v>
      </c>
      <c r="E17" s="111">
        <v>0</v>
      </c>
      <c r="F17" s="111">
        <v>0</v>
      </c>
      <c r="G17" s="111">
        <v>0</v>
      </c>
      <c r="H17" s="111">
        <f t="shared" si="0"/>
        <v>0</v>
      </c>
      <c r="I17" s="117">
        <v>0</v>
      </c>
      <c r="J17" s="115">
        <f t="shared" si="1"/>
        <v>0</v>
      </c>
      <c r="K17" s="117">
        <f t="shared" si="2"/>
        <v>0</v>
      </c>
    </row>
    <row r="18" s="108" customFormat="1" ht="12.75" spans="1:11">
      <c r="A18" s="76">
        <v>13</v>
      </c>
      <c r="B18" s="76" t="s">
        <v>15</v>
      </c>
      <c r="C18" s="109">
        <v>0.333333333333333</v>
      </c>
      <c r="D18" s="109">
        <v>0.5</v>
      </c>
      <c r="E18" s="109">
        <f t="shared" ref="E18:E35" si="3">D18-C18</f>
        <v>0.166666666666667</v>
      </c>
      <c r="F18" s="109">
        <v>0.583333333333333</v>
      </c>
      <c r="G18" s="109">
        <v>0.791666666666667</v>
      </c>
      <c r="H18" s="109">
        <f t="shared" si="0"/>
        <v>0.208333333333334</v>
      </c>
      <c r="I18" s="64">
        <v>0.333333333333333</v>
      </c>
      <c r="J18" s="115">
        <f t="shared" si="1"/>
        <v>0.375000000000001</v>
      </c>
      <c r="K18" s="115">
        <f t="shared" si="2"/>
        <v>0.041666666666668</v>
      </c>
    </row>
    <row r="19" spans="1:11">
      <c r="A19" s="76">
        <v>14</v>
      </c>
      <c r="B19" s="76" t="s">
        <v>16</v>
      </c>
      <c r="C19" s="109">
        <v>0.333333333333333</v>
      </c>
      <c r="D19" s="109">
        <v>0.5</v>
      </c>
      <c r="E19" s="109">
        <f t="shared" si="3"/>
        <v>0.166666666666667</v>
      </c>
      <c r="F19" s="109">
        <v>0.583333333333333</v>
      </c>
      <c r="G19" s="109">
        <v>0.833333333333333</v>
      </c>
      <c r="H19" s="109">
        <f t="shared" si="0"/>
        <v>0.25</v>
      </c>
      <c r="I19" s="64">
        <v>0.333333333333333</v>
      </c>
      <c r="J19" s="115">
        <f t="shared" si="1"/>
        <v>0.416666666666667</v>
      </c>
      <c r="K19" s="115">
        <f t="shared" si="2"/>
        <v>0.083333333333334</v>
      </c>
    </row>
    <row r="20" s="108" customFormat="1" ht="12.75" spans="1:11">
      <c r="A20" s="76">
        <v>15</v>
      </c>
      <c r="B20" s="76" t="s">
        <v>17</v>
      </c>
      <c r="C20" s="109">
        <v>0.333333333333333</v>
      </c>
      <c r="D20" s="109">
        <v>0.5</v>
      </c>
      <c r="E20" s="109">
        <f t="shared" si="3"/>
        <v>0.166666666666667</v>
      </c>
      <c r="F20" s="109">
        <v>0.583333333333333</v>
      </c>
      <c r="G20" s="109">
        <v>0.833333333333333</v>
      </c>
      <c r="H20" s="109">
        <f t="shared" si="0"/>
        <v>0.25</v>
      </c>
      <c r="I20" s="64">
        <v>0.333333333333333</v>
      </c>
      <c r="J20" s="115">
        <f t="shared" si="1"/>
        <v>0.416666666666667</v>
      </c>
      <c r="K20" s="115">
        <f t="shared" si="2"/>
        <v>0.083333333333334</v>
      </c>
    </row>
    <row r="21" s="108" customFormat="1" ht="12.75" spans="1:11">
      <c r="A21" s="76">
        <v>16</v>
      </c>
      <c r="B21" s="76" t="s">
        <v>18</v>
      </c>
      <c r="C21" s="109">
        <v>0.333333333333333</v>
      </c>
      <c r="D21" s="109">
        <v>0.5</v>
      </c>
      <c r="E21" s="109">
        <f t="shared" si="3"/>
        <v>0.166666666666667</v>
      </c>
      <c r="F21" s="109">
        <v>0.583333333333333</v>
      </c>
      <c r="G21" s="109">
        <v>0.791666666666667</v>
      </c>
      <c r="H21" s="109">
        <f t="shared" si="0"/>
        <v>0.208333333333334</v>
      </c>
      <c r="I21" s="64">
        <v>0.333333333333333</v>
      </c>
      <c r="J21" s="115">
        <f t="shared" si="1"/>
        <v>0.375000000000001</v>
      </c>
      <c r="K21" s="115">
        <f t="shared" si="2"/>
        <v>0.041666666666668</v>
      </c>
    </row>
    <row r="22" spans="1:11">
      <c r="A22" s="76">
        <v>17</v>
      </c>
      <c r="B22" s="76" t="s">
        <v>19</v>
      </c>
      <c r="C22" s="109">
        <v>0.333333333333333</v>
      </c>
      <c r="D22" s="109">
        <v>0.5</v>
      </c>
      <c r="E22" s="109">
        <f t="shared" si="3"/>
        <v>0.166666666666667</v>
      </c>
      <c r="F22" s="109">
        <v>0.583333333333333</v>
      </c>
      <c r="G22" s="109">
        <v>0.833333333333333</v>
      </c>
      <c r="H22" s="109">
        <f t="shared" si="0"/>
        <v>0.25</v>
      </c>
      <c r="I22" s="64">
        <v>0.333333333333333</v>
      </c>
      <c r="J22" s="115">
        <f t="shared" si="1"/>
        <v>0.416666666666667</v>
      </c>
      <c r="K22" s="115">
        <f t="shared" si="2"/>
        <v>0.083333333333334</v>
      </c>
    </row>
    <row r="23" spans="1:11">
      <c r="A23" s="76">
        <v>18</v>
      </c>
      <c r="B23" s="76" t="s">
        <v>20</v>
      </c>
      <c r="C23" s="109">
        <v>0.333333333333333</v>
      </c>
      <c r="D23" s="109">
        <v>0.583333333333333</v>
      </c>
      <c r="E23" s="109">
        <f t="shared" si="3"/>
        <v>0.25</v>
      </c>
      <c r="F23" s="109">
        <v>0</v>
      </c>
      <c r="G23" s="109">
        <v>0</v>
      </c>
      <c r="H23" s="109">
        <f t="shared" si="0"/>
        <v>0</v>
      </c>
      <c r="I23" s="64">
        <v>0.166666666666667</v>
      </c>
      <c r="J23" s="115">
        <f t="shared" si="1"/>
        <v>0.25</v>
      </c>
      <c r="K23" s="115">
        <f t="shared" si="2"/>
        <v>0.0833333333333331</v>
      </c>
    </row>
    <row r="24" s="108" customFormat="1" ht="12.75" spans="1:11">
      <c r="A24" s="110">
        <v>19</v>
      </c>
      <c r="B24" s="110" t="s">
        <v>14</v>
      </c>
      <c r="C24" s="111">
        <v>0</v>
      </c>
      <c r="D24" s="111">
        <v>0</v>
      </c>
      <c r="E24" s="111">
        <f t="shared" si="3"/>
        <v>0</v>
      </c>
      <c r="F24" s="111">
        <v>0</v>
      </c>
      <c r="G24" s="111">
        <v>0</v>
      </c>
      <c r="H24" s="111">
        <f t="shared" si="0"/>
        <v>0</v>
      </c>
      <c r="I24" s="117">
        <v>0</v>
      </c>
      <c r="J24" s="115">
        <f t="shared" si="1"/>
        <v>0</v>
      </c>
      <c r="K24" s="117">
        <f t="shared" si="2"/>
        <v>0</v>
      </c>
    </row>
    <row r="25" s="108" customFormat="1" ht="12.75" spans="1:11">
      <c r="A25" s="76">
        <v>20</v>
      </c>
      <c r="B25" s="76" t="s">
        <v>15</v>
      </c>
      <c r="C25" s="109">
        <v>0.333333333333333</v>
      </c>
      <c r="D25" s="109">
        <v>0.5</v>
      </c>
      <c r="E25" s="109">
        <f t="shared" si="3"/>
        <v>0.166666666666667</v>
      </c>
      <c r="F25" s="109">
        <v>0.583333333333333</v>
      </c>
      <c r="G25" s="109">
        <v>0.75</v>
      </c>
      <c r="H25" s="109">
        <f t="shared" si="0"/>
        <v>0.166666666666667</v>
      </c>
      <c r="I25" s="64">
        <v>0.333333333333333</v>
      </c>
      <c r="J25" s="115">
        <f t="shared" si="1"/>
        <v>0.333333333333334</v>
      </c>
      <c r="K25" s="115">
        <f t="shared" si="2"/>
        <v>9.99200722162641e-16</v>
      </c>
    </row>
    <row r="26" spans="1:11">
      <c r="A26" s="76">
        <v>21</v>
      </c>
      <c r="B26" s="76" t="s">
        <v>16</v>
      </c>
      <c r="C26" s="109">
        <v>0.333333333333333</v>
      </c>
      <c r="D26" s="109">
        <v>0.5</v>
      </c>
      <c r="E26" s="109">
        <f t="shared" si="3"/>
        <v>0.166666666666667</v>
      </c>
      <c r="F26" s="109">
        <v>0.583333333333333</v>
      </c>
      <c r="G26" s="109">
        <v>0.791666666666667</v>
      </c>
      <c r="H26" s="109">
        <f t="shared" si="0"/>
        <v>0.208333333333334</v>
      </c>
      <c r="I26" s="64">
        <v>0.333333333333333</v>
      </c>
      <c r="J26" s="115">
        <f t="shared" si="1"/>
        <v>0.375000000000001</v>
      </c>
      <c r="K26" s="115">
        <f t="shared" si="2"/>
        <v>0.041666666666668</v>
      </c>
    </row>
    <row r="27" s="108" customFormat="1" ht="12.75" spans="1:11">
      <c r="A27" s="76">
        <v>22</v>
      </c>
      <c r="B27" s="76" t="s">
        <v>17</v>
      </c>
      <c r="C27" s="109">
        <v>0.333333333333333</v>
      </c>
      <c r="D27" s="109">
        <v>0.5</v>
      </c>
      <c r="E27" s="109">
        <f t="shared" si="3"/>
        <v>0.166666666666667</v>
      </c>
      <c r="F27" s="109">
        <v>0.583333333333333</v>
      </c>
      <c r="G27" s="109">
        <v>0.75</v>
      </c>
      <c r="H27" s="109">
        <f t="shared" si="0"/>
        <v>0.166666666666667</v>
      </c>
      <c r="I27" s="64">
        <v>0.333333333333333</v>
      </c>
      <c r="J27" s="115">
        <f t="shared" si="1"/>
        <v>0.333333333333334</v>
      </c>
      <c r="K27" s="115">
        <f t="shared" si="2"/>
        <v>9.99200722162641e-16</v>
      </c>
    </row>
    <row r="28" s="108" customFormat="1" ht="12.75" spans="1:11">
      <c r="A28" s="76">
        <v>23</v>
      </c>
      <c r="B28" s="76" t="s">
        <v>18</v>
      </c>
      <c r="C28" s="109">
        <v>0.333333333333333</v>
      </c>
      <c r="D28" s="109">
        <v>0.5</v>
      </c>
      <c r="E28" s="109">
        <f t="shared" si="3"/>
        <v>0.166666666666667</v>
      </c>
      <c r="F28" s="109">
        <v>0.583333333333333</v>
      </c>
      <c r="G28" s="109">
        <v>0.75</v>
      </c>
      <c r="H28" s="109">
        <f t="shared" si="0"/>
        <v>0.166666666666667</v>
      </c>
      <c r="I28" s="64">
        <v>0.333333333333333</v>
      </c>
      <c r="J28" s="115">
        <f t="shared" si="1"/>
        <v>0.333333333333334</v>
      </c>
      <c r="K28" s="115">
        <f t="shared" si="2"/>
        <v>9.99200722162641e-16</v>
      </c>
    </row>
    <row r="29" spans="1:11">
      <c r="A29" s="76">
        <v>24</v>
      </c>
      <c r="B29" s="76" t="s">
        <v>19</v>
      </c>
      <c r="C29" s="109">
        <v>0.333333333333333</v>
      </c>
      <c r="D29" s="109">
        <v>0.5</v>
      </c>
      <c r="E29" s="109">
        <f t="shared" si="3"/>
        <v>0.166666666666667</v>
      </c>
      <c r="F29" s="109">
        <v>0.583333333333333</v>
      </c>
      <c r="G29" s="109">
        <v>0.791666666666667</v>
      </c>
      <c r="H29" s="109">
        <f t="shared" si="0"/>
        <v>0.208333333333334</v>
      </c>
      <c r="I29" s="64">
        <v>0.333333333333333</v>
      </c>
      <c r="J29" s="115">
        <f t="shared" si="1"/>
        <v>0.375000000000001</v>
      </c>
      <c r="K29" s="115">
        <f t="shared" si="2"/>
        <v>0.041666666666668</v>
      </c>
    </row>
    <row r="30" spans="1:11">
      <c r="A30" s="76">
        <v>25</v>
      </c>
      <c r="B30" s="76" t="s">
        <v>20</v>
      </c>
      <c r="C30" s="109">
        <v>0.333333333333333</v>
      </c>
      <c r="D30" s="109">
        <v>0.430555555555556</v>
      </c>
      <c r="E30" s="109">
        <f t="shared" si="3"/>
        <v>0.097222222222223</v>
      </c>
      <c r="F30" s="109">
        <v>0</v>
      </c>
      <c r="G30" s="109">
        <v>0</v>
      </c>
      <c r="H30" s="109">
        <f t="shared" si="0"/>
        <v>0</v>
      </c>
      <c r="I30" s="64">
        <v>0.166666666666667</v>
      </c>
      <c r="J30" s="115">
        <f t="shared" si="1"/>
        <v>0.097222222222223</v>
      </c>
      <c r="K30" s="115">
        <f t="shared" si="2"/>
        <v>-0.0694444444444439</v>
      </c>
    </row>
    <row r="31" s="108" customFormat="1" ht="12.75" spans="1:11">
      <c r="A31" s="110">
        <v>26</v>
      </c>
      <c r="B31" s="110" t="s">
        <v>14</v>
      </c>
      <c r="C31" s="111">
        <v>0</v>
      </c>
      <c r="D31" s="111">
        <v>0</v>
      </c>
      <c r="E31" s="111">
        <f t="shared" si="3"/>
        <v>0</v>
      </c>
      <c r="F31" s="111">
        <v>0</v>
      </c>
      <c r="G31" s="111">
        <v>0</v>
      </c>
      <c r="H31" s="111">
        <f t="shared" si="0"/>
        <v>0</v>
      </c>
      <c r="I31" s="117">
        <v>0</v>
      </c>
      <c r="J31" s="115">
        <f t="shared" si="1"/>
        <v>0</v>
      </c>
      <c r="K31" s="117">
        <f t="shared" si="2"/>
        <v>0</v>
      </c>
    </row>
    <row r="32" s="108" customFormat="1" ht="12.75" spans="1:11">
      <c r="A32" s="76">
        <v>27</v>
      </c>
      <c r="B32" s="76" t="s">
        <v>15</v>
      </c>
      <c r="C32" s="109">
        <v>0.333333333333333</v>
      </c>
      <c r="D32" s="109">
        <v>0.5</v>
      </c>
      <c r="E32" s="109">
        <f t="shared" si="3"/>
        <v>0.166666666666667</v>
      </c>
      <c r="F32" s="109">
        <v>0.583333333333333</v>
      </c>
      <c r="G32" s="109">
        <v>0.75</v>
      </c>
      <c r="H32" s="109">
        <f t="shared" si="0"/>
        <v>0.166666666666667</v>
      </c>
      <c r="I32" s="115">
        <v>0.333333333333333</v>
      </c>
      <c r="J32" s="115">
        <f t="shared" si="1"/>
        <v>0.333333333333334</v>
      </c>
      <c r="K32" s="115">
        <f t="shared" si="2"/>
        <v>9.99200722162641e-16</v>
      </c>
    </row>
    <row r="33" spans="1:11">
      <c r="A33" s="76">
        <v>28</v>
      </c>
      <c r="B33" s="76" t="s">
        <v>16</v>
      </c>
      <c r="C33" s="109">
        <v>0.333333333333333</v>
      </c>
      <c r="D33" s="109">
        <v>0.5</v>
      </c>
      <c r="E33" s="109">
        <f t="shared" si="3"/>
        <v>0.166666666666667</v>
      </c>
      <c r="F33" s="109">
        <v>0.583333333333333</v>
      </c>
      <c r="G33" s="109">
        <v>0.75</v>
      </c>
      <c r="H33" s="109">
        <f t="shared" si="0"/>
        <v>0.166666666666667</v>
      </c>
      <c r="I33" s="115">
        <v>0.333333333333333</v>
      </c>
      <c r="J33" s="115">
        <f t="shared" si="1"/>
        <v>0.333333333333334</v>
      </c>
      <c r="K33" s="115">
        <f t="shared" si="2"/>
        <v>9.99200722162641e-16</v>
      </c>
    </row>
    <row r="34" s="108" customFormat="1" ht="12.75" spans="1:11">
      <c r="A34" s="76">
        <v>29</v>
      </c>
      <c r="B34" s="76" t="s">
        <v>17</v>
      </c>
      <c r="C34" s="109">
        <v>0.333333333333333</v>
      </c>
      <c r="D34" s="109">
        <v>0.5</v>
      </c>
      <c r="E34" s="109">
        <f t="shared" si="3"/>
        <v>0.166666666666667</v>
      </c>
      <c r="F34" s="109">
        <v>0.583333333333333</v>
      </c>
      <c r="G34" s="109">
        <v>0.75</v>
      </c>
      <c r="H34" s="109">
        <f t="shared" si="0"/>
        <v>0.166666666666667</v>
      </c>
      <c r="I34" s="115">
        <v>0.333333333333333</v>
      </c>
      <c r="J34" s="115">
        <f t="shared" si="1"/>
        <v>0.333333333333334</v>
      </c>
      <c r="K34" s="115">
        <f t="shared" si="2"/>
        <v>9.99200722162641e-16</v>
      </c>
    </row>
    <row r="35" s="108" customFormat="1" ht="12.75" spans="1:11">
      <c r="A35" s="76">
        <v>30</v>
      </c>
      <c r="B35" s="76" t="s">
        <v>18</v>
      </c>
      <c r="C35" s="109">
        <v>0.333333333333333</v>
      </c>
      <c r="D35" s="109">
        <v>0.5</v>
      </c>
      <c r="E35" s="109">
        <f t="shared" si="3"/>
        <v>0.166666666666667</v>
      </c>
      <c r="F35" s="109">
        <v>0.583333333333333</v>
      </c>
      <c r="G35" s="109">
        <v>0.791666666666667</v>
      </c>
      <c r="H35" s="109">
        <f t="shared" si="0"/>
        <v>0.208333333333334</v>
      </c>
      <c r="I35" s="115">
        <v>0.333333333333333</v>
      </c>
      <c r="J35" s="115">
        <f t="shared" si="1"/>
        <v>0.375000000000001</v>
      </c>
      <c r="K35" s="115">
        <f t="shared" si="2"/>
        <v>0.041666666666668</v>
      </c>
    </row>
    <row r="36" spans="1:11">
      <c r="A36" s="76"/>
      <c r="B36" s="76"/>
      <c r="C36" s="109"/>
      <c r="D36" s="109"/>
      <c r="E36" s="109"/>
      <c r="F36" s="109"/>
      <c r="G36" s="109"/>
      <c r="H36" s="109"/>
      <c r="I36" s="115"/>
      <c r="J36" s="115"/>
      <c r="K36" s="115"/>
    </row>
    <row r="37" spans="1:11">
      <c r="A37" s="105"/>
      <c r="B37" s="105"/>
      <c r="C37" s="109"/>
      <c r="D37" s="112"/>
      <c r="E37" s="112"/>
      <c r="F37" s="112"/>
      <c r="G37" s="112"/>
      <c r="H37" s="112"/>
      <c r="I37" s="119"/>
      <c r="J37" s="119"/>
      <c r="K37" s="105"/>
    </row>
    <row r="38" spans="1:11">
      <c r="A38" s="105"/>
      <c r="B38" s="105"/>
      <c r="C38" s="112"/>
      <c r="D38" s="112"/>
      <c r="E38" s="112"/>
      <c r="F38" s="112"/>
      <c r="G38" s="112"/>
      <c r="H38" s="112"/>
      <c r="I38" s="119">
        <f>SUM(I6:I36)</f>
        <v>7.66666666666666</v>
      </c>
      <c r="J38" s="119">
        <f>SUM(J6:J36)</f>
        <v>8.80555555555557</v>
      </c>
      <c r="K38" s="119">
        <f>J38-I38</f>
        <v>1.13888888888891</v>
      </c>
    </row>
    <row r="39" s="99" customFormat="1" ht="12.75" spans="3:10">
      <c r="C39" s="100"/>
      <c r="D39" s="100"/>
      <c r="E39" s="100"/>
      <c r="F39" s="100"/>
      <c r="G39" s="100"/>
      <c r="H39" s="100"/>
      <c r="I39" s="107"/>
      <c r="J39" s="107"/>
    </row>
    <row r="40" spans="1:10">
      <c r="A40" s="101" t="s">
        <v>21</v>
      </c>
      <c r="B40" s="101"/>
      <c r="C40" s="100">
        <f>J38</f>
        <v>8.80555555555557</v>
      </c>
      <c r="D40" s="100"/>
      <c r="E40" s="100"/>
      <c r="F40" s="100"/>
      <c r="G40" s="100"/>
      <c r="H40" s="100"/>
      <c r="I40" s="107"/>
      <c r="J40" s="107"/>
    </row>
    <row r="41" spans="1:3">
      <c r="A41" s="101" t="s">
        <v>22</v>
      </c>
      <c r="B41" s="101"/>
      <c r="C41" s="100">
        <f>I38</f>
        <v>7.66666666666666</v>
      </c>
    </row>
    <row r="42" spans="1:2">
      <c r="A42" s="103"/>
      <c r="B42" s="103"/>
    </row>
    <row r="43" spans="1:3">
      <c r="A43" s="99"/>
      <c r="B43" s="99" t="s">
        <v>13</v>
      </c>
      <c r="C43" s="100">
        <f>C40-C41</f>
        <v>1.13888888888891</v>
      </c>
    </row>
    <row r="44" spans="1:1">
      <c r="A44" s="99"/>
    </row>
    <row r="45" spans="1:10">
      <c r="A45" s="104" t="s">
        <v>26</v>
      </c>
      <c r="B45" s="104"/>
      <c r="C45" s="104"/>
      <c r="D45" s="104"/>
      <c r="E45" s="104"/>
      <c r="F45" s="104"/>
      <c r="G45" s="104"/>
      <c r="H45" s="104"/>
      <c r="I45" s="104"/>
      <c r="J45" s="104"/>
    </row>
    <row r="46" spans="1:1">
      <c r="A46" s="99"/>
    </row>
    <row r="47" spans="1:1">
      <c r="A47" s="99"/>
    </row>
    <row r="48" spans="1:8">
      <c r="A48" s="113"/>
      <c r="B48" s="113"/>
      <c r="C48" s="114"/>
      <c r="D48" s="114"/>
      <c r="E48" s="114"/>
      <c r="F48" s="114"/>
      <c r="G48" s="114"/>
      <c r="H48" s="114"/>
    </row>
    <row r="49" spans="1:10">
      <c r="A49" s="104" t="s">
        <v>24</v>
      </c>
      <c r="B49" s="104"/>
      <c r="C49" s="104"/>
      <c r="D49" s="104"/>
      <c r="E49" s="104"/>
      <c r="F49" s="104"/>
      <c r="G49" s="104"/>
      <c r="H49" s="104"/>
      <c r="I49" s="104"/>
      <c r="J49" s="104"/>
    </row>
  </sheetData>
  <mergeCells count="9">
    <mergeCell ref="A1:K1"/>
    <mergeCell ref="C2:K2"/>
    <mergeCell ref="C3:K3"/>
    <mergeCell ref="C4:E4"/>
    <mergeCell ref="F4:H4"/>
    <mergeCell ref="A40:B40"/>
    <mergeCell ref="A41:B41"/>
    <mergeCell ref="A45:J45"/>
    <mergeCell ref="A49:J49"/>
  </mergeCells>
  <pageMargins left="0.118055555555556" right="0.118055555555556" top="0.39375" bottom="0.39375" header="0.511805555555555" footer="0.511805555555555"/>
  <pageSetup paperSize="9" firstPageNumber="0" orientation="portrait" useFirstPageNumber="1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"/>
  <sheetViews>
    <sheetView topLeftCell="A28" workbookViewId="0">
      <selection activeCell="A51" sqref="A51"/>
    </sheetView>
  </sheetViews>
  <sheetFormatPr defaultColWidth="9.01904761904762" defaultRowHeight="15"/>
  <cols>
    <col min="1" max="1" width="2.99047619047619" customWidth="1"/>
    <col min="2" max="2" width="13.2857142857143" customWidth="1"/>
    <col min="4" max="4" width="7.86666666666667" customWidth="1"/>
    <col min="5" max="5" width="6.86666666666667" customWidth="1"/>
    <col min="6" max="7" width="7.86666666666667" customWidth="1"/>
    <col min="8" max="8" width="6.86666666666667" customWidth="1"/>
  </cols>
  <sheetData>
    <row r="1" spans="1:11">
      <c r="A1" s="94" t="s">
        <v>27</v>
      </c>
      <c r="B1" s="94"/>
      <c r="C1" s="94"/>
      <c r="D1" s="94"/>
      <c r="E1" s="94"/>
      <c r="F1" s="94"/>
      <c r="G1" s="94"/>
      <c r="H1" s="94"/>
      <c r="I1" s="94"/>
      <c r="J1" s="94"/>
      <c r="K1" s="94"/>
    </row>
    <row r="2" spans="1:11">
      <c r="A2" s="72" t="s">
        <v>1</v>
      </c>
      <c r="B2" s="72"/>
      <c r="C2" s="95" t="s">
        <v>28</v>
      </c>
      <c r="D2" s="95"/>
      <c r="E2" s="95"/>
      <c r="F2" s="95"/>
      <c r="G2" s="95"/>
      <c r="H2" s="95"/>
      <c r="I2" s="95"/>
      <c r="J2" s="95"/>
      <c r="K2" s="95"/>
    </row>
    <row r="3" spans="1:11">
      <c r="A3" s="72" t="s">
        <v>3</v>
      </c>
      <c r="B3" s="72"/>
      <c r="C3" s="96" t="s">
        <v>29</v>
      </c>
      <c r="D3" s="96"/>
      <c r="E3" s="96"/>
      <c r="F3" s="96"/>
      <c r="G3" s="96"/>
      <c r="H3" s="96"/>
      <c r="I3" s="96"/>
      <c r="J3" s="96"/>
      <c r="K3" s="96"/>
    </row>
    <row r="4" spans="1:11">
      <c r="A4" s="74"/>
      <c r="B4" s="97"/>
      <c r="C4" s="98" t="s">
        <v>5</v>
      </c>
      <c r="D4" s="98"/>
      <c r="E4" s="98"/>
      <c r="F4" s="98" t="s">
        <v>6</v>
      </c>
      <c r="G4" s="98"/>
      <c r="H4" s="98"/>
      <c r="I4" s="97"/>
      <c r="J4" s="97"/>
      <c r="K4" s="105"/>
    </row>
    <row r="5" spans="1:11">
      <c r="A5" s="76"/>
      <c r="B5" s="94"/>
      <c r="C5" s="94" t="s">
        <v>7</v>
      </c>
      <c r="D5" s="94" t="s">
        <v>8</v>
      </c>
      <c r="E5" s="94" t="s">
        <v>9</v>
      </c>
      <c r="F5" s="94" t="s">
        <v>7</v>
      </c>
      <c r="G5" s="94" t="s">
        <v>10</v>
      </c>
      <c r="H5" s="94" t="s">
        <v>9</v>
      </c>
      <c r="I5" s="106" t="s">
        <v>11</v>
      </c>
      <c r="J5" s="106" t="s">
        <v>12</v>
      </c>
      <c r="K5" s="94" t="s">
        <v>13</v>
      </c>
    </row>
    <row r="6" spans="1:11">
      <c r="A6" s="48">
        <v>1</v>
      </c>
      <c r="B6" s="48" t="s">
        <v>15</v>
      </c>
      <c r="C6" s="50">
        <v>0.333333333333333</v>
      </c>
      <c r="D6" s="50">
        <v>0.5</v>
      </c>
      <c r="E6" s="50">
        <f>D6-C6</f>
        <v>0.166666666666667</v>
      </c>
      <c r="F6" s="50">
        <v>0.583333333333333</v>
      </c>
      <c r="G6" s="50">
        <v>0.75</v>
      </c>
      <c r="H6" s="50">
        <f t="shared" ref="H6:H36" si="0">G6-F6</f>
        <v>0.166666666666667</v>
      </c>
      <c r="I6" s="64">
        <v>0.333333333333333</v>
      </c>
      <c r="J6" s="64">
        <f t="shared" ref="J6:J36" si="1">E6+H6</f>
        <v>0.333333333333334</v>
      </c>
      <c r="K6" s="64">
        <f t="shared" ref="K6:K37" si="2">J6-I6</f>
        <v>9.99200722162641e-16</v>
      </c>
    </row>
    <row r="7" spans="1:11">
      <c r="A7" s="48">
        <v>2</v>
      </c>
      <c r="B7" s="48" t="s">
        <v>16</v>
      </c>
      <c r="C7" s="50">
        <v>0.333333333333333</v>
      </c>
      <c r="D7" s="50">
        <v>0.5</v>
      </c>
      <c r="E7" s="50">
        <f>D7-C7</f>
        <v>0.166666666666667</v>
      </c>
      <c r="F7" s="50">
        <v>0.583333333333333</v>
      </c>
      <c r="G7" s="50">
        <v>0.75</v>
      </c>
      <c r="H7" s="50">
        <f t="shared" si="0"/>
        <v>0.166666666666667</v>
      </c>
      <c r="I7" s="64">
        <v>0.333333333333333</v>
      </c>
      <c r="J7" s="64">
        <f t="shared" si="1"/>
        <v>0.333333333333334</v>
      </c>
      <c r="K7" s="64">
        <f t="shared" si="2"/>
        <v>9.99200722162641e-16</v>
      </c>
    </row>
    <row r="8" spans="1:11">
      <c r="A8" s="48">
        <v>3</v>
      </c>
      <c r="B8" s="48" t="s">
        <v>17</v>
      </c>
      <c r="C8" s="50">
        <v>0.333333333333333</v>
      </c>
      <c r="D8" s="50">
        <v>0.5</v>
      </c>
      <c r="E8" s="50">
        <v>0</v>
      </c>
      <c r="F8" s="50">
        <v>0.583333333333333</v>
      </c>
      <c r="G8" s="50">
        <v>0.75</v>
      </c>
      <c r="H8" s="50">
        <f t="shared" si="0"/>
        <v>0.166666666666667</v>
      </c>
      <c r="I8" s="64">
        <v>0.333333333333333</v>
      </c>
      <c r="J8" s="64">
        <f t="shared" si="1"/>
        <v>0.166666666666667</v>
      </c>
      <c r="K8" s="64">
        <f t="shared" si="2"/>
        <v>-0.166666666666666</v>
      </c>
    </row>
    <row r="9" spans="1:11">
      <c r="A9" s="48">
        <v>4</v>
      </c>
      <c r="B9" s="48" t="s">
        <v>18</v>
      </c>
      <c r="C9" s="50">
        <v>0.333333333333333</v>
      </c>
      <c r="D9" s="50">
        <v>0.5</v>
      </c>
      <c r="E9" s="50">
        <f t="shared" ref="E9:E36" si="3">D9-C9</f>
        <v>0.166666666666667</v>
      </c>
      <c r="F9" s="50">
        <v>0.583333333333333</v>
      </c>
      <c r="G9" s="50">
        <v>0.75</v>
      </c>
      <c r="H9" s="50">
        <f t="shared" si="0"/>
        <v>0.166666666666667</v>
      </c>
      <c r="I9" s="64">
        <v>0.333333333333333</v>
      </c>
      <c r="J9" s="64">
        <f t="shared" si="1"/>
        <v>0.333333333333334</v>
      </c>
      <c r="K9" s="64">
        <f t="shared" si="2"/>
        <v>9.99200722162641e-16</v>
      </c>
    </row>
    <row r="10" spans="1:11">
      <c r="A10" s="48">
        <v>5</v>
      </c>
      <c r="B10" s="48" t="s">
        <v>19</v>
      </c>
      <c r="C10" s="50">
        <v>0.333333333333333</v>
      </c>
      <c r="D10" s="50">
        <v>0.5</v>
      </c>
      <c r="E10" s="50">
        <f t="shared" si="3"/>
        <v>0.166666666666667</v>
      </c>
      <c r="F10" s="50">
        <v>0.583333333333333</v>
      </c>
      <c r="G10" s="50">
        <v>0.75</v>
      </c>
      <c r="H10" s="50">
        <f t="shared" si="0"/>
        <v>0.166666666666667</v>
      </c>
      <c r="I10" s="66">
        <v>0.333333333333333</v>
      </c>
      <c r="J10" s="64">
        <f t="shared" si="1"/>
        <v>0.333333333333334</v>
      </c>
      <c r="K10" s="64">
        <f t="shared" si="2"/>
        <v>9.99200722162641e-16</v>
      </c>
    </row>
    <row r="11" spans="1:11">
      <c r="A11" s="48">
        <v>6</v>
      </c>
      <c r="B11" s="48" t="s">
        <v>20</v>
      </c>
      <c r="C11" s="50">
        <v>0.333333333333333</v>
      </c>
      <c r="D11" s="50">
        <v>0.5</v>
      </c>
      <c r="E11" s="50">
        <f t="shared" si="3"/>
        <v>0.166666666666667</v>
      </c>
      <c r="F11" s="90">
        <v>0</v>
      </c>
      <c r="G11" s="90">
        <v>0</v>
      </c>
      <c r="H11" s="50">
        <f t="shared" si="0"/>
        <v>0</v>
      </c>
      <c r="I11" s="64">
        <v>0.166666666666667</v>
      </c>
      <c r="J11" s="64">
        <f t="shared" si="1"/>
        <v>0.166666666666667</v>
      </c>
      <c r="K11" s="64">
        <f t="shared" si="2"/>
        <v>0</v>
      </c>
    </row>
    <row r="12" spans="1:11">
      <c r="A12" s="88">
        <v>7</v>
      </c>
      <c r="B12" s="88" t="s">
        <v>14</v>
      </c>
      <c r="C12" s="90">
        <v>0</v>
      </c>
      <c r="D12" s="90">
        <v>0</v>
      </c>
      <c r="E12" s="90">
        <f t="shared" si="3"/>
        <v>0</v>
      </c>
      <c r="F12" s="90">
        <v>0</v>
      </c>
      <c r="G12" s="90">
        <v>0</v>
      </c>
      <c r="H12" s="90">
        <f t="shared" si="0"/>
        <v>0</v>
      </c>
      <c r="I12" s="91">
        <v>0</v>
      </c>
      <c r="J12" s="91">
        <f t="shared" si="1"/>
        <v>0</v>
      </c>
      <c r="K12" s="91">
        <f t="shared" si="2"/>
        <v>0</v>
      </c>
    </row>
    <row r="13" spans="1:11">
      <c r="A13" s="48">
        <v>8</v>
      </c>
      <c r="B13" s="48" t="s">
        <v>15</v>
      </c>
      <c r="C13" s="50">
        <v>0.333333333333333</v>
      </c>
      <c r="D13" s="50">
        <v>0.5</v>
      </c>
      <c r="E13" s="50">
        <f t="shared" si="3"/>
        <v>0.166666666666667</v>
      </c>
      <c r="F13" s="50">
        <v>0.583333333333333</v>
      </c>
      <c r="G13" s="50">
        <v>0.666666666666667</v>
      </c>
      <c r="H13" s="50">
        <f t="shared" si="0"/>
        <v>0.0833333333333339</v>
      </c>
      <c r="I13" s="64">
        <v>0.333333333333333</v>
      </c>
      <c r="J13" s="64">
        <f t="shared" si="1"/>
        <v>0.250000000000001</v>
      </c>
      <c r="K13" s="64">
        <f t="shared" si="2"/>
        <v>-0.083333333333332</v>
      </c>
    </row>
    <row r="14" spans="1:11">
      <c r="A14" s="48">
        <v>9</v>
      </c>
      <c r="B14" s="48" t="s">
        <v>16</v>
      </c>
      <c r="C14" s="50">
        <v>0.333333333333333</v>
      </c>
      <c r="D14" s="50">
        <v>0.5</v>
      </c>
      <c r="E14" s="50">
        <f t="shared" si="3"/>
        <v>0.166666666666667</v>
      </c>
      <c r="F14" s="50">
        <v>0.583333333333333</v>
      </c>
      <c r="G14" s="50">
        <v>0.75</v>
      </c>
      <c r="H14" s="50">
        <f t="shared" si="0"/>
        <v>0.166666666666667</v>
      </c>
      <c r="I14" s="64">
        <v>0.333333333333333</v>
      </c>
      <c r="J14" s="64">
        <f t="shared" si="1"/>
        <v>0.333333333333334</v>
      </c>
      <c r="K14" s="64">
        <f t="shared" si="2"/>
        <v>9.99200722162641e-16</v>
      </c>
    </row>
    <row r="15" spans="1:11">
      <c r="A15" s="48">
        <v>10</v>
      </c>
      <c r="B15" s="48" t="s">
        <v>17</v>
      </c>
      <c r="C15" s="50">
        <v>0.333333333333333</v>
      </c>
      <c r="D15" s="50">
        <v>0.5</v>
      </c>
      <c r="E15" s="50">
        <f t="shared" si="3"/>
        <v>0.166666666666667</v>
      </c>
      <c r="F15" s="50">
        <v>0.583333333333333</v>
      </c>
      <c r="G15" s="50">
        <v>0.75</v>
      </c>
      <c r="H15" s="50">
        <f t="shared" si="0"/>
        <v>0.166666666666667</v>
      </c>
      <c r="I15" s="64">
        <v>0.333333333333333</v>
      </c>
      <c r="J15" s="64">
        <f t="shared" si="1"/>
        <v>0.333333333333334</v>
      </c>
      <c r="K15" s="64">
        <f t="shared" si="2"/>
        <v>9.99200722162641e-16</v>
      </c>
    </row>
    <row r="16" spans="1:11">
      <c r="A16" s="48">
        <v>11</v>
      </c>
      <c r="B16" s="48" t="s">
        <v>18</v>
      </c>
      <c r="C16" s="50">
        <v>0.333333333333333</v>
      </c>
      <c r="D16" s="50">
        <v>0.5</v>
      </c>
      <c r="E16" s="50">
        <f t="shared" si="3"/>
        <v>0.166666666666667</v>
      </c>
      <c r="F16" s="50">
        <v>0.583333333333333</v>
      </c>
      <c r="G16" s="50">
        <v>0.770833333333333</v>
      </c>
      <c r="H16" s="50">
        <f t="shared" si="0"/>
        <v>0.1875</v>
      </c>
      <c r="I16" s="64">
        <v>0.333333333333333</v>
      </c>
      <c r="J16" s="64">
        <f t="shared" si="1"/>
        <v>0.354166666666667</v>
      </c>
      <c r="K16" s="64">
        <f t="shared" si="2"/>
        <v>0.020833333333334</v>
      </c>
    </row>
    <row r="17" spans="1:11">
      <c r="A17" s="48">
        <v>12</v>
      </c>
      <c r="B17" s="48" t="s">
        <v>19</v>
      </c>
      <c r="C17" s="50">
        <v>0.333333333333333</v>
      </c>
      <c r="D17" s="50">
        <v>0.5</v>
      </c>
      <c r="E17" s="50">
        <f t="shared" si="3"/>
        <v>0.166666666666667</v>
      </c>
      <c r="F17" s="50">
        <v>0.583333333333333</v>
      </c>
      <c r="G17" s="50">
        <v>0.763888888888889</v>
      </c>
      <c r="H17" s="50">
        <f t="shared" si="0"/>
        <v>0.180555555555556</v>
      </c>
      <c r="I17" s="66">
        <v>0.333333333333333</v>
      </c>
      <c r="J17" s="64">
        <f t="shared" si="1"/>
        <v>0.347222222222223</v>
      </c>
      <c r="K17" s="64">
        <f t="shared" si="2"/>
        <v>0.0138888888888899</v>
      </c>
    </row>
    <row r="18" spans="1:11">
      <c r="A18" s="48">
        <v>13</v>
      </c>
      <c r="B18" s="48" t="s">
        <v>20</v>
      </c>
      <c r="C18" s="50">
        <v>0.333333333333333</v>
      </c>
      <c r="D18" s="50">
        <v>0.5</v>
      </c>
      <c r="E18" s="50">
        <f t="shared" si="3"/>
        <v>0.166666666666667</v>
      </c>
      <c r="F18" s="90">
        <v>0</v>
      </c>
      <c r="G18" s="90">
        <v>0</v>
      </c>
      <c r="H18" s="50">
        <f t="shared" si="0"/>
        <v>0</v>
      </c>
      <c r="I18" s="64">
        <v>0.166666666666667</v>
      </c>
      <c r="J18" s="64">
        <f t="shared" si="1"/>
        <v>0.166666666666667</v>
      </c>
      <c r="K18" s="64">
        <f t="shared" si="2"/>
        <v>0</v>
      </c>
    </row>
    <row r="19" spans="1:11">
      <c r="A19" s="88">
        <v>14</v>
      </c>
      <c r="B19" s="88" t="s">
        <v>14</v>
      </c>
      <c r="C19" s="90">
        <v>0</v>
      </c>
      <c r="D19" s="90">
        <v>0</v>
      </c>
      <c r="E19" s="90">
        <f t="shared" si="3"/>
        <v>0</v>
      </c>
      <c r="F19" s="90">
        <v>0</v>
      </c>
      <c r="G19" s="90">
        <v>0</v>
      </c>
      <c r="H19" s="90">
        <f t="shared" si="0"/>
        <v>0</v>
      </c>
      <c r="I19" s="91">
        <v>0</v>
      </c>
      <c r="J19" s="91">
        <f t="shared" si="1"/>
        <v>0</v>
      </c>
      <c r="K19" s="91">
        <f t="shared" si="2"/>
        <v>0</v>
      </c>
    </row>
    <row r="20" spans="1:11">
      <c r="A20" s="88">
        <v>15</v>
      </c>
      <c r="B20" s="88" t="s">
        <v>15</v>
      </c>
      <c r="C20" s="90">
        <v>0</v>
      </c>
      <c r="D20" s="90">
        <v>0</v>
      </c>
      <c r="E20" s="90">
        <f t="shared" si="3"/>
        <v>0</v>
      </c>
      <c r="F20" s="90">
        <v>0</v>
      </c>
      <c r="G20" s="90">
        <v>0</v>
      </c>
      <c r="H20" s="90">
        <f t="shared" si="0"/>
        <v>0</v>
      </c>
      <c r="I20" s="91">
        <v>0</v>
      </c>
      <c r="J20" s="91">
        <f t="shared" si="1"/>
        <v>0</v>
      </c>
      <c r="K20" s="91">
        <f t="shared" si="2"/>
        <v>0</v>
      </c>
    </row>
    <row r="21" spans="1:11">
      <c r="A21" s="48">
        <v>16</v>
      </c>
      <c r="B21" s="48" t="s">
        <v>16</v>
      </c>
      <c r="C21" s="50">
        <v>0.333333333333333</v>
      </c>
      <c r="D21" s="50">
        <v>0.5</v>
      </c>
      <c r="E21" s="50">
        <f t="shared" si="3"/>
        <v>0.166666666666667</v>
      </c>
      <c r="F21" s="50">
        <v>0.583333333333333</v>
      </c>
      <c r="G21" s="50">
        <v>0.753472222222222</v>
      </c>
      <c r="H21" s="50">
        <f t="shared" si="0"/>
        <v>0.170138888888889</v>
      </c>
      <c r="I21" s="64">
        <v>0.333333333333333</v>
      </c>
      <c r="J21" s="64">
        <f t="shared" si="1"/>
        <v>0.336805555555556</v>
      </c>
      <c r="K21" s="64">
        <f t="shared" si="2"/>
        <v>0.00347222222222299</v>
      </c>
    </row>
    <row r="22" spans="1:11">
      <c r="A22" s="48">
        <v>17</v>
      </c>
      <c r="B22" s="48" t="s">
        <v>17</v>
      </c>
      <c r="C22" s="50">
        <v>0.326388888888889</v>
      </c>
      <c r="D22" s="50">
        <v>0.5</v>
      </c>
      <c r="E22" s="50">
        <f t="shared" si="3"/>
        <v>0.173611111111111</v>
      </c>
      <c r="F22" s="50">
        <v>0.583333333333333</v>
      </c>
      <c r="G22" s="50">
        <v>0.770833333333333</v>
      </c>
      <c r="H22" s="50">
        <f t="shared" si="0"/>
        <v>0.1875</v>
      </c>
      <c r="I22" s="64">
        <v>0.333333333333333</v>
      </c>
      <c r="J22" s="64">
        <f t="shared" si="1"/>
        <v>0.361111111111111</v>
      </c>
      <c r="K22" s="64">
        <f t="shared" si="2"/>
        <v>0.027777777777778</v>
      </c>
    </row>
    <row r="23" spans="1:11">
      <c r="A23" s="48">
        <v>18</v>
      </c>
      <c r="B23" s="48" t="s">
        <v>18</v>
      </c>
      <c r="C23" s="50">
        <v>0.322916666666667</v>
      </c>
      <c r="D23" s="50">
        <v>0.5</v>
      </c>
      <c r="E23" s="50">
        <f t="shared" si="3"/>
        <v>0.177083333333333</v>
      </c>
      <c r="F23" s="50">
        <v>0.583333333333333</v>
      </c>
      <c r="G23" s="50">
        <v>0.775</v>
      </c>
      <c r="H23" s="50">
        <f t="shared" si="0"/>
        <v>0.191666666666667</v>
      </c>
      <c r="I23" s="64">
        <v>0.333333333333333</v>
      </c>
      <c r="J23" s="64">
        <f t="shared" si="1"/>
        <v>0.36875</v>
      </c>
      <c r="K23" s="64">
        <f t="shared" si="2"/>
        <v>0.035416666666667</v>
      </c>
    </row>
    <row r="24" spans="1:11">
      <c r="A24" s="48">
        <v>19</v>
      </c>
      <c r="B24" s="48" t="s">
        <v>19</v>
      </c>
      <c r="C24" s="50">
        <v>0.326388888888889</v>
      </c>
      <c r="D24" s="50">
        <v>0.5</v>
      </c>
      <c r="E24" s="50">
        <f t="shared" si="3"/>
        <v>0.173611111111111</v>
      </c>
      <c r="F24" s="50">
        <v>0.583333333333333</v>
      </c>
      <c r="G24" s="50">
        <v>0.770833333333333</v>
      </c>
      <c r="H24" s="50">
        <f t="shared" si="0"/>
        <v>0.1875</v>
      </c>
      <c r="I24" s="66">
        <v>0.333333333333333</v>
      </c>
      <c r="J24" s="64">
        <f t="shared" si="1"/>
        <v>0.361111111111111</v>
      </c>
      <c r="K24" s="64">
        <f t="shared" si="2"/>
        <v>0.027777777777778</v>
      </c>
    </row>
    <row r="25" spans="1:11">
      <c r="A25" s="48">
        <v>20</v>
      </c>
      <c r="B25" s="48" t="s">
        <v>20</v>
      </c>
      <c r="C25" s="50">
        <v>0.3125</v>
      </c>
      <c r="D25" s="50">
        <v>0.527777777777778</v>
      </c>
      <c r="E25" s="50">
        <f t="shared" si="3"/>
        <v>0.215277777777778</v>
      </c>
      <c r="F25" s="90">
        <v>0</v>
      </c>
      <c r="G25" s="90">
        <v>0</v>
      </c>
      <c r="H25" s="50">
        <f t="shared" si="0"/>
        <v>0</v>
      </c>
      <c r="I25" s="64">
        <v>0.166666666666667</v>
      </c>
      <c r="J25" s="64">
        <f t="shared" si="1"/>
        <v>0.215277777777778</v>
      </c>
      <c r="K25" s="64">
        <f t="shared" si="2"/>
        <v>0.048611111111111</v>
      </c>
    </row>
    <row r="26" spans="1:11">
      <c r="A26" s="88">
        <v>21</v>
      </c>
      <c r="B26" s="88" t="s">
        <v>14</v>
      </c>
      <c r="C26" s="90">
        <v>0</v>
      </c>
      <c r="D26" s="90">
        <v>0</v>
      </c>
      <c r="E26" s="90">
        <f t="shared" si="3"/>
        <v>0</v>
      </c>
      <c r="F26" s="90">
        <v>0</v>
      </c>
      <c r="G26" s="90">
        <v>0</v>
      </c>
      <c r="H26" s="90">
        <f t="shared" si="0"/>
        <v>0</v>
      </c>
      <c r="I26" s="91">
        <v>0</v>
      </c>
      <c r="J26" s="91">
        <f t="shared" si="1"/>
        <v>0</v>
      </c>
      <c r="K26" s="91">
        <f t="shared" si="2"/>
        <v>0</v>
      </c>
    </row>
    <row r="27" spans="1:11">
      <c r="A27" s="48">
        <v>22</v>
      </c>
      <c r="B27" s="48" t="s">
        <v>15</v>
      </c>
      <c r="C27" s="50">
        <v>0.319444444444444</v>
      </c>
      <c r="D27" s="50">
        <v>0.5</v>
      </c>
      <c r="E27" s="50">
        <f t="shared" si="3"/>
        <v>0.180555555555556</v>
      </c>
      <c r="F27" s="50">
        <v>0.583333333333333</v>
      </c>
      <c r="G27" s="50">
        <v>0.75</v>
      </c>
      <c r="H27" s="50">
        <f t="shared" si="0"/>
        <v>0.166666666666667</v>
      </c>
      <c r="I27" s="64">
        <v>0.333333333333333</v>
      </c>
      <c r="J27" s="64">
        <f t="shared" si="1"/>
        <v>0.347222222222223</v>
      </c>
      <c r="K27" s="64">
        <f t="shared" si="2"/>
        <v>0.01388888888889</v>
      </c>
    </row>
    <row r="28" spans="1:11">
      <c r="A28" s="48">
        <v>23</v>
      </c>
      <c r="B28" s="48" t="s">
        <v>16</v>
      </c>
      <c r="C28" s="50">
        <v>0.326388888888889</v>
      </c>
      <c r="D28" s="50">
        <v>0.541666666666667</v>
      </c>
      <c r="E28" s="50">
        <f t="shared" si="3"/>
        <v>0.215277777777778</v>
      </c>
      <c r="F28" s="50">
        <v>0.583333333333333</v>
      </c>
      <c r="G28" s="50">
        <v>0.763888888888889</v>
      </c>
      <c r="H28" s="50">
        <f t="shared" si="0"/>
        <v>0.180555555555556</v>
      </c>
      <c r="I28" s="64">
        <v>0.333333333333333</v>
      </c>
      <c r="J28" s="64">
        <f t="shared" si="1"/>
        <v>0.395833333333334</v>
      </c>
      <c r="K28" s="64">
        <f t="shared" si="2"/>
        <v>0.0625000000000009</v>
      </c>
    </row>
    <row r="29" spans="1:11">
      <c r="A29" s="48">
        <v>24</v>
      </c>
      <c r="B29" s="48" t="s">
        <v>17</v>
      </c>
      <c r="C29" s="50">
        <v>0.326388888888889</v>
      </c>
      <c r="D29" s="50">
        <v>0.541666666666667</v>
      </c>
      <c r="E29" s="50">
        <f t="shared" si="3"/>
        <v>0.215277777777778</v>
      </c>
      <c r="F29" s="50">
        <v>0.583333333333333</v>
      </c>
      <c r="G29" s="50">
        <v>0.75</v>
      </c>
      <c r="H29" s="50">
        <f t="shared" si="0"/>
        <v>0.166666666666667</v>
      </c>
      <c r="I29" s="64">
        <v>0.333333333333333</v>
      </c>
      <c r="J29" s="64">
        <f t="shared" si="1"/>
        <v>0.381944444444445</v>
      </c>
      <c r="K29" s="64">
        <f t="shared" si="2"/>
        <v>0.0486111111111119</v>
      </c>
    </row>
    <row r="30" spans="1:11">
      <c r="A30" s="48">
        <v>25</v>
      </c>
      <c r="B30" s="48" t="s">
        <v>18</v>
      </c>
      <c r="C30" s="50">
        <v>0.333333333333333</v>
      </c>
      <c r="D30" s="50">
        <v>0.5</v>
      </c>
      <c r="E30" s="50">
        <f t="shared" si="3"/>
        <v>0.166666666666667</v>
      </c>
      <c r="F30" s="50">
        <v>0.583333333333333</v>
      </c>
      <c r="G30" s="50">
        <v>0.75</v>
      </c>
      <c r="H30" s="50">
        <f t="shared" si="0"/>
        <v>0.166666666666667</v>
      </c>
      <c r="I30" s="64">
        <v>0.333333333333333</v>
      </c>
      <c r="J30" s="64">
        <f t="shared" si="1"/>
        <v>0.333333333333334</v>
      </c>
      <c r="K30" s="64">
        <f t="shared" si="2"/>
        <v>9.99200722162641e-16</v>
      </c>
    </row>
    <row r="31" spans="1:11">
      <c r="A31" s="48">
        <v>26</v>
      </c>
      <c r="B31" s="48" t="s">
        <v>19</v>
      </c>
      <c r="C31" s="50">
        <v>0.333333333333333</v>
      </c>
      <c r="D31" s="50">
        <v>0.5</v>
      </c>
      <c r="E31" s="50">
        <f t="shared" si="3"/>
        <v>0.166666666666667</v>
      </c>
      <c r="F31" s="50">
        <v>0.583333333333333</v>
      </c>
      <c r="G31" s="50">
        <v>0.75</v>
      </c>
      <c r="H31" s="50">
        <f t="shared" si="0"/>
        <v>0.166666666666667</v>
      </c>
      <c r="I31" s="66">
        <v>0.333333333333333</v>
      </c>
      <c r="J31" s="64">
        <f t="shared" si="1"/>
        <v>0.333333333333334</v>
      </c>
      <c r="K31" s="64">
        <f t="shared" si="2"/>
        <v>9.99200722162641e-16</v>
      </c>
    </row>
    <row r="32" spans="1:11">
      <c r="A32" s="48">
        <v>27</v>
      </c>
      <c r="B32" s="48" t="s">
        <v>20</v>
      </c>
      <c r="C32" s="50">
        <v>0.333333333333333</v>
      </c>
      <c r="D32" s="50">
        <v>0.46875</v>
      </c>
      <c r="E32" s="50">
        <f t="shared" si="3"/>
        <v>0.135416666666667</v>
      </c>
      <c r="F32" s="90">
        <v>0</v>
      </c>
      <c r="G32" s="90">
        <v>0</v>
      </c>
      <c r="H32" s="50">
        <f t="shared" si="0"/>
        <v>0</v>
      </c>
      <c r="I32" s="64">
        <v>0.166666666666667</v>
      </c>
      <c r="J32" s="64">
        <f t="shared" si="1"/>
        <v>0.135416666666667</v>
      </c>
      <c r="K32" s="64">
        <f t="shared" si="2"/>
        <v>-0.03125</v>
      </c>
    </row>
    <row r="33" spans="1:11">
      <c r="A33" s="88">
        <v>28</v>
      </c>
      <c r="B33" s="88" t="s">
        <v>14</v>
      </c>
      <c r="C33" s="90">
        <v>0</v>
      </c>
      <c r="D33" s="90">
        <v>0</v>
      </c>
      <c r="E33" s="90">
        <f t="shared" si="3"/>
        <v>0</v>
      </c>
      <c r="F33" s="90">
        <v>0</v>
      </c>
      <c r="G33" s="90">
        <v>0</v>
      </c>
      <c r="H33" s="90">
        <f t="shared" si="0"/>
        <v>0</v>
      </c>
      <c r="I33" s="91">
        <v>0</v>
      </c>
      <c r="J33" s="91">
        <f t="shared" si="1"/>
        <v>0</v>
      </c>
      <c r="K33" s="91">
        <f t="shared" si="2"/>
        <v>0</v>
      </c>
    </row>
    <row r="34" spans="1:11">
      <c r="A34" s="48">
        <v>29</v>
      </c>
      <c r="B34" s="48" t="s">
        <v>15</v>
      </c>
      <c r="C34" s="50">
        <v>0.333333333333333</v>
      </c>
      <c r="D34" s="50">
        <v>0.541666666666667</v>
      </c>
      <c r="E34" s="50">
        <f t="shared" si="3"/>
        <v>0.208333333333334</v>
      </c>
      <c r="F34" s="50">
        <v>0.583333333333333</v>
      </c>
      <c r="G34" s="50">
        <v>0.767361111111111</v>
      </c>
      <c r="H34" s="50">
        <f t="shared" si="0"/>
        <v>0.184027777777778</v>
      </c>
      <c r="I34" s="64">
        <v>0.333333333333333</v>
      </c>
      <c r="J34" s="64">
        <f t="shared" si="1"/>
        <v>0.392361111111112</v>
      </c>
      <c r="K34" s="64">
        <f t="shared" si="2"/>
        <v>0.059027777777779</v>
      </c>
    </row>
    <row r="35" spans="1:11">
      <c r="A35" s="48">
        <v>30</v>
      </c>
      <c r="B35" s="48" t="s">
        <v>16</v>
      </c>
      <c r="C35" s="50">
        <v>0.333333333333333</v>
      </c>
      <c r="D35" s="50">
        <v>0.5</v>
      </c>
      <c r="E35" s="50">
        <f t="shared" si="3"/>
        <v>0.166666666666667</v>
      </c>
      <c r="F35" s="50">
        <v>0.583333333333333</v>
      </c>
      <c r="G35" s="50">
        <v>0.763888888888889</v>
      </c>
      <c r="H35" s="50">
        <f t="shared" si="0"/>
        <v>0.180555555555556</v>
      </c>
      <c r="I35" s="64">
        <v>0.333333333333333</v>
      </c>
      <c r="J35" s="64">
        <f t="shared" si="1"/>
        <v>0.347222222222223</v>
      </c>
      <c r="K35" s="64">
        <f t="shared" si="2"/>
        <v>0.0138888888888899</v>
      </c>
    </row>
    <row r="36" spans="1:11">
      <c r="A36" s="48">
        <v>31</v>
      </c>
      <c r="B36" s="48" t="s">
        <v>17</v>
      </c>
      <c r="C36" s="50">
        <v>0.333333333333333</v>
      </c>
      <c r="D36" s="50">
        <v>0.5</v>
      </c>
      <c r="E36" s="50">
        <f t="shared" si="3"/>
        <v>0.166666666666667</v>
      </c>
      <c r="F36" s="50">
        <v>0.583333333333333</v>
      </c>
      <c r="G36" s="50">
        <v>0.75</v>
      </c>
      <c r="H36" s="50">
        <f t="shared" si="0"/>
        <v>0.166666666666667</v>
      </c>
      <c r="I36" s="64">
        <v>0.333333333333333</v>
      </c>
      <c r="J36" s="64">
        <f t="shared" si="1"/>
        <v>0.333333333333334</v>
      </c>
      <c r="K36" s="64">
        <f t="shared" si="2"/>
        <v>9.99200722162641e-16</v>
      </c>
    </row>
    <row r="37" spans="1:11">
      <c r="A37" s="48"/>
      <c r="B37" s="48"/>
      <c r="C37" s="50"/>
      <c r="D37" s="50"/>
      <c r="E37" s="50"/>
      <c r="F37" s="50"/>
      <c r="G37" s="50"/>
      <c r="H37" s="50"/>
      <c r="I37" s="64">
        <f>SUM(I6:I36)</f>
        <v>7.99999999999999</v>
      </c>
      <c r="J37" s="64">
        <f>SUM(J6:J36)</f>
        <v>8.09444444444446</v>
      </c>
      <c r="K37" s="64">
        <f t="shared" si="2"/>
        <v>0.0944444444444636</v>
      </c>
    </row>
    <row r="38" spans="1:11">
      <c r="A38" s="99"/>
      <c r="B38" s="99"/>
      <c r="C38" s="100"/>
      <c r="D38" s="100"/>
      <c r="E38" s="100"/>
      <c r="F38" s="100"/>
      <c r="G38" s="100"/>
      <c r="H38" s="100"/>
      <c r="I38" s="107"/>
      <c r="J38" s="107"/>
      <c r="K38" s="99"/>
    </row>
    <row r="39" spans="1:11">
      <c r="A39" s="101" t="s">
        <v>21</v>
      </c>
      <c r="B39" s="101"/>
      <c r="C39" s="100">
        <f>J37</f>
        <v>8.09444444444446</v>
      </c>
      <c r="D39" s="100"/>
      <c r="E39" s="100"/>
      <c r="F39" s="100"/>
      <c r="G39" s="100"/>
      <c r="H39" s="100"/>
      <c r="I39" s="107"/>
      <c r="J39" s="107"/>
      <c r="K39" s="99"/>
    </row>
    <row r="40" spans="1:11">
      <c r="A40" s="101" t="s">
        <v>22</v>
      </c>
      <c r="B40" s="101"/>
      <c r="C40" s="100">
        <f>I37</f>
        <v>7.99999999999999</v>
      </c>
      <c r="D40" s="102"/>
      <c r="E40" s="102"/>
      <c r="F40" s="102"/>
      <c r="G40" s="102"/>
      <c r="H40" s="102"/>
      <c r="I40" s="99"/>
      <c r="J40" s="99"/>
      <c r="K40" s="99"/>
    </row>
    <row r="41" spans="1:11">
      <c r="A41" s="103"/>
      <c r="B41" s="103"/>
      <c r="C41" s="102"/>
      <c r="D41" s="102"/>
      <c r="E41" s="102"/>
      <c r="F41" s="102"/>
      <c r="G41" s="102"/>
      <c r="H41" s="102"/>
      <c r="I41" s="99"/>
      <c r="J41" s="99"/>
      <c r="K41" s="99"/>
    </row>
    <row r="42" spans="1:11">
      <c r="A42" s="99"/>
      <c r="B42" s="99" t="s">
        <v>13</v>
      </c>
      <c r="C42" s="100">
        <f>C39-C40</f>
        <v>0.0944444444444636</v>
      </c>
      <c r="D42" s="102"/>
      <c r="E42" s="102"/>
      <c r="F42" s="102"/>
      <c r="G42" s="102"/>
      <c r="H42" s="102"/>
      <c r="I42" s="99"/>
      <c r="J42" s="99"/>
      <c r="K42" s="99"/>
    </row>
    <row r="43" spans="1:11">
      <c r="A43" s="99"/>
      <c r="B43" s="99"/>
      <c r="C43" s="102"/>
      <c r="D43" s="102"/>
      <c r="E43" s="102"/>
      <c r="F43" s="102"/>
      <c r="G43" s="102"/>
      <c r="H43" s="102"/>
      <c r="I43" s="99"/>
      <c r="J43" s="99"/>
      <c r="K43" s="99"/>
    </row>
    <row r="44" spans="1:11">
      <c r="A44" s="104" t="s">
        <v>30</v>
      </c>
      <c r="B44" s="104"/>
      <c r="C44" s="104"/>
      <c r="D44" s="104"/>
      <c r="E44" s="104"/>
      <c r="F44" s="104"/>
      <c r="G44" s="104"/>
      <c r="H44" s="104"/>
      <c r="I44" s="104"/>
      <c r="J44" s="104"/>
      <c r="K44" s="99"/>
    </row>
  </sheetData>
  <mergeCells count="10">
    <mergeCell ref="A1:K1"/>
    <mergeCell ref="A2:B2"/>
    <mergeCell ref="C2:K2"/>
    <mergeCell ref="A3:B3"/>
    <mergeCell ref="C3:K3"/>
    <mergeCell ref="C4:E4"/>
    <mergeCell ref="F4:H4"/>
    <mergeCell ref="A39:B39"/>
    <mergeCell ref="A40:B40"/>
    <mergeCell ref="A44:J44"/>
  </mergeCells>
  <pageMargins left="0.511805555555555" right="0.511805555555555" top="0.7875" bottom="0.7875" header="0.511805555555555" footer="0.511805555555555"/>
  <pageSetup paperSize="9" firstPageNumber="0" orientation="portrait" useFirstPageNumber="1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"/>
  <sheetViews>
    <sheetView topLeftCell="A13" workbookViewId="0">
      <selection activeCell="I29" sqref="I29"/>
    </sheetView>
  </sheetViews>
  <sheetFormatPr defaultColWidth="9.01904761904762" defaultRowHeight="15"/>
  <cols>
    <col min="1" max="1" width="2.99047619047619" customWidth="1"/>
    <col min="2" max="2" width="13.2857142857143" customWidth="1"/>
  </cols>
  <sheetData>
    <row r="1" spans="1:11">
      <c r="A1" s="94" t="s">
        <v>27</v>
      </c>
      <c r="B1" s="94"/>
      <c r="C1" s="94"/>
      <c r="D1" s="94"/>
      <c r="E1" s="94"/>
      <c r="F1" s="94"/>
      <c r="G1" s="94"/>
      <c r="H1" s="94"/>
      <c r="I1" s="94"/>
      <c r="J1" s="94"/>
      <c r="K1" s="94"/>
    </row>
    <row r="2" spans="1:11">
      <c r="A2" s="72" t="s">
        <v>1</v>
      </c>
      <c r="B2" s="72"/>
      <c r="C2" s="95" t="s">
        <v>28</v>
      </c>
      <c r="D2" s="95"/>
      <c r="E2" s="95"/>
      <c r="F2" s="95"/>
      <c r="G2" s="95"/>
      <c r="H2" s="95"/>
      <c r="I2" s="95"/>
      <c r="J2" s="95"/>
      <c r="K2" s="95"/>
    </row>
    <row r="3" spans="1:11">
      <c r="A3" s="72" t="s">
        <v>3</v>
      </c>
      <c r="B3" s="72"/>
      <c r="C3" s="96" t="s">
        <v>31</v>
      </c>
      <c r="D3" s="96"/>
      <c r="E3" s="96"/>
      <c r="F3" s="96"/>
      <c r="G3" s="96"/>
      <c r="H3" s="96"/>
      <c r="I3" s="96"/>
      <c r="J3" s="96"/>
      <c r="K3" s="96"/>
    </row>
    <row r="4" spans="1:11">
      <c r="A4" s="74"/>
      <c r="B4" s="97"/>
      <c r="C4" s="98" t="s">
        <v>5</v>
      </c>
      <c r="D4" s="98"/>
      <c r="E4" s="98"/>
      <c r="F4" s="98" t="s">
        <v>6</v>
      </c>
      <c r="G4" s="98"/>
      <c r="H4" s="98"/>
      <c r="I4" s="97"/>
      <c r="J4" s="97"/>
      <c r="K4" s="105"/>
    </row>
    <row r="5" spans="1:11">
      <c r="A5" s="76"/>
      <c r="B5" s="94"/>
      <c r="C5" s="94" t="s">
        <v>7</v>
      </c>
      <c r="D5" s="94" t="s">
        <v>8</v>
      </c>
      <c r="E5" s="94" t="s">
        <v>9</v>
      </c>
      <c r="F5" s="94" t="s">
        <v>7</v>
      </c>
      <c r="G5" s="94" t="s">
        <v>10</v>
      </c>
      <c r="H5" s="94" t="s">
        <v>9</v>
      </c>
      <c r="I5" s="106" t="s">
        <v>11</v>
      </c>
      <c r="J5" s="106" t="s">
        <v>12</v>
      </c>
      <c r="K5" s="94" t="s">
        <v>13</v>
      </c>
    </row>
    <row r="6" spans="1:11">
      <c r="A6" s="48">
        <v>1</v>
      </c>
      <c r="B6" s="48" t="s">
        <v>18</v>
      </c>
      <c r="C6" s="50">
        <v>0.326388888888889</v>
      </c>
      <c r="D6" s="50">
        <v>0.541666666666667</v>
      </c>
      <c r="E6" s="50">
        <f t="shared" ref="E6:E35" si="0">D6-C6</f>
        <v>0.215277777777778</v>
      </c>
      <c r="F6" s="50">
        <v>0.583333333333333</v>
      </c>
      <c r="G6" s="50">
        <v>0.75</v>
      </c>
      <c r="H6" s="50">
        <f t="shared" ref="H6:H35" si="1">G6-F6</f>
        <v>0.166666666666667</v>
      </c>
      <c r="I6" s="64">
        <v>0.333333333333333</v>
      </c>
      <c r="J6" s="64">
        <f t="shared" ref="J6:J35" si="2">E6+H6</f>
        <v>0.381944444444445</v>
      </c>
      <c r="K6" s="64">
        <f t="shared" ref="K6:K35" si="3">J6-I6</f>
        <v>0.0486111111111119</v>
      </c>
    </row>
    <row r="7" spans="1:11">
      <c r="A7" s="48">
        <v>2</v>
      </c>
      <c r="B7" s="48" t="s">
        <v>19</v>
      </c>
      <c r="C7" s="50">
        <v>0.333333333333333</v>
      </c>
      <c r="D7" s="50">
        <v>0.5</v>
      </c>
      <c r="E7" s="50">
        <f t="shared" si="0"/>
        <v>0.166666666666667</v>
      </c>
      <c r="F7" s="50">
        <v>0.583333333333333</v>
      </c>
      <c r="G7" s="50">
        <v>0.75</v>
      </c>
      <c r="H7" s="50">
        <f t="shared" si="1"/>
        <v>0.166666666666667</v>
      </c>
      <c r="I7" s="64">
        <v>0.333333333333333</v>
      </c>
      <c r="J7" s="64">
        <f t="shared" si="2"/>
        <v>0.333333333333334</v>
      </c>
      <c r="K7" s="64">
        <f t="shared" si="3"/>
        <v>9.99200722162641e-16</v>
      </c>
    </row>
    <row r="8" spans="1:11">
      <c r="A8" s="48">
        <v>3</v>
      </c>
      <c r="B8" s="48" t="s">
        <v>20</v>
      </c>
      <c r="C8" s="50">
        <v>0.319444444444444</v>
      </c>
      <c r="D8" s="50">
        <v>0.5</v>
      </c>
      <c r="E8" s="50">
        <f t="shared" si="0"/>
        <v>0.180555555555556</v>
      </c>
      <c r="F8" s="50">
        <v>0</v>
      </c>
      <c r="G8" s="50">
        <v>0</v>
      </c>
      <c r="H8" s="50">
        <f t="shared" si="1"/>
        <v>0</v>
      </c>
      <c r="I8" s="64">
        <v>0.166666666666667</v>
      </c>
      <c r="J8" s="64">
        <f t="shared" si="2"/>
        <v>0.180555555555556</v>
      </c>
      <c r="K8" s="64">
        <f t="shared" si="3"/>
        <v>0.013888888888889</v>
      </c>
    </row>
    <row r="9" spans="1:11">
      <c r="A9" s="88">
        <v>4</v>
      </c>
      <c r="B9" s="88" t="s">
        <v>14</v>
      </c>
      <c r="C9" s="90">
        <v>0</v>
      </c>
      <c r="D9" s="90">
        <v>0</v>
      </c>
      <c r="E9" s="50">
        <f t="shared" si="0"/>
        <v>0</v>
      </c>
      <c r="F9" s="90">
        <v>0</v>
      </c>
      <c r="G9" s="90">
        <v>0</v>
      </c>
      <c r="H9" s="50">
        <f t="shared" si="1"/>
        <v>0</v>
      </c>
      <c r="I9" s="91">
        <v>0</v>
      </c>
      <c r="J9" s="64">
        <f t="shared" si="2"/>
        <v>0</v>
      </c>
      <c r="K9" s="64">
        <f t="shared" si="3"/>
        <v>0</v>
      </c>
    </row>
    <row r="10" spans="1:11">
      <c r="A10" s="48">
        <v>5</v>
      </c>
      <c r="B10" s="48" t="s">
        <v>15</v>
      </c>
      <c r="C10" s="50">
        <v>0.322916666666667</v>
      </c>
      <c r="D10" s="50">
        <v>0.5</v>
      </c>
      <c r="E10" s="50">
        <f t="shared" si="0"/>
        <v>0.177083333333333</v>
      </c>
      <c r="F10" s="50">
        <v>0.583333333333333</v>
      </c>
      <c r="G10" s="50">
        <v>0.75</v>
      </c>
      <c r="H10" s="50">
        <f t="shared" si="1"/>
        <v>0.166666666666667</v>
      </c>
      <c r="I10" s="66">
        <v>0.333333333333333</v>
      </c>
      <c r="J10" s="64">
        <f t="shared" si="2"/>
        <v>0.34375</v>
      </c>
      <c r="K10" s="64">
        <f t="shared" si="3"/>
        <v>0.010416666666667</v>
      </c>
    </row>
    <row r="11" spans="1:11">
      <c r="A11" s="48">
        <v>6</v>
      </c>
      <c r="B11" s="48" t="s">
        <v>16</v>
      </c>
      <c r="C11" s="50">
        <v>0.444444444444444</v>
      </c>
      <c r="D11" s="50">
        <v>0.5</v>
      </c>
      <c r="E11" s="50">
        <f t="shared" si="0"/>
        <v>0.055555555555556</v>
      </c>
      <c r="F11" s="50">
        <v>0.583333333333333</v>
      </c>
      <c r="G11" s="50">
        <v>0.75</v>
      </c>
      <c r="H11" s="50">
        <f t="shared" si="1"/>
        <v>0.166666666666667</v>
      </c>
      <c r="I11" s="64">
        <v>0.333333333333333</v>
      </c>
      <c r="J11" s="64">
        <f t="shared" si="2"/>
        <v>0.222222222222223</v>
      </c>
      <c r="K11" s="64">
        <f t="shared" si="3"/>
        <v>-0.11111111111111</v>
      </c>
    </row>
    <row r="12" spans="1:11">
      <c r="A12" s="88">
        <v>7</v>
      </c>
      <c r="B12" s="88" t="s">
        <v>17</v>
      </c>
      <c r="C12" s="90">
        <v>0</v>
      </c>
      <c r="D12" s="90">
        <v>0</v>
      </c>
      <c r="E12" s="50">
        <f t="shared" si="0"/>
        <v>0</v>
      </c>
      <c r="F12" s="90">
        <v>0</v>
      </c>
      <c r="G12" s="90">
        <v>0</v>
      </c>
      <c r="H12" s="50">
        <f t="shared" si="1"/>
        <v>0</v>
      </c>
      <c r="I12" s="91">
        <v>0</v>
      </c>
      <c r="J12" s="64">
        <f t="shared" si="2"/>
        <v>0</v>
      </c>
      <c r="K12" s="64">
        <f t="shared" si="3"/>
        <v>0</v>
      </c>
    </row>
    <row r="13" spans="1:11">
      <c r="A13" s="48">
        <v>8</v>
      </c>
      <c r="B13" s="48" t="s">
        <v>18</v>
      </c>
      <c r="C13" s="50">
        <v>0.319444444444444</v>
      </c>
      <c r="D13" s="50">
        <v>0.5</v>
      </c>
      <c r="E13" s="50">
        <f t="shared" si="0"/>
        <v>0.180555555555556</v>
      </c>
      <c r="F13" s="50">
        <v>0.583333333333333</v>
      </c>
      <c r="G13" s="50">
        <v>0.8125</v>
      </c>
      <c r="H13" s="50">
        <f t="shared" si="1"/>
        <v>0.229166666666667</v>
      </c>
      <c r="I13" s="64">
        <v>0.333333333333333</v>
      </c>
      <c r="J13" s="64">
        <f t="shared" si="2"/>
        <v>0.409722222222223</v>
      </c>
      <c r="K13" s="64">
        <f t="shared" si="3"/>
        <v>0.07638888888889</v>
      </c>
    </row>
    <row r="14" spans="1:11">
      <c r="A14" s="48">
        <v>9</v>
      </c>
      <c r="B14" s="48" t="s">
        <v>19</v>
      </c>
      <c r="C14" s="50">
        <v>0.319444444444444</v>
      </c>
      <c r="D14" s="50">
        <v>0.5</v>
      </c>
      <c r="E14" s="50">
        <f t="shared" si="0"/>
        <v>0.180555555555556</v>
      </c>
      <c r="F14" s="50">
        <v>0.583333333333333</v>
      </c>
      <c r="G14" s="50">
        <v>0.75</v>
      </c>
      <c r="H14" s="50">
        <f t="shared" si="1"/>
        <v>0.166666666666667</v>
      </c>
      <c r="I14" s="64">
        <v>0.333333333333333</v>
      </c>
      <c r="J14" s="64">
        <f t="shared" si="2"/>
        <v>0.347222222222223</v>
      </c>
      <c r="K14" s="64">
        <f t="shared" si="3"/>
        <v>0.01388888888889</v>
      </c>
    </row>
    <row r="15" spans="1:11">
      <c r="A15" s="48">
        <v>10</v>
      </c>
      <c r="B15" s="48" t="s">
        <v>20</v>
      </c>
      <c r="C15" s="50">
        <v>0.322916666666667</v>
      </c>
      <c r="D15" s="50">
        <v>0.520833333333333</v>
      </c>
      <c r="E15" s="50">
        <f t="shared" si="0"/>
        <v>0.197916666666666</v>
      </c>
      <c r="F15" s="50">
        <v>0</v>
      </c>
      <c r="G15" s="50">
        <v>0</v>
      </c>
      <c r="H15" s="50">
        <f t="shared" si="1"/>
        <v>0</v>
      </c>
      <c r="I15" s="64">
        <v>0.166666666666667</v>
      </c>
      <c r="J15" s="64">
        <f t="shared" si="2"/>
        <v>0.197916666666666</v>
      </c>
      <c r="K15" s="64">
        <f t="shared" si="3"/>
        <v>0.031249999999999</v>
      </c>
    </row>
    <row r="16" spans="1:11">
      <c r="A16" s="88">
        <v>11</v>
      </c>
      <c r="B16" s="88" t="s">
        <v>14</v>
      </c>
      <c r="C16" s="90">
        <v>0</v>
      </c>
      <c r="D16" s="90">
        <v>0</v>
      </c>
      <c r="E16" s="50">
        <f t="shared" si="0"/>
        <v>0</v>
      </c>
      <c r="F16" s="90">
        <v>0</v>
      </c>
      <c r="G16" s="90">
        <v>0</v>
      </c>
      <c r="H16" s="50">
        <f t="shared" si="1"/>
        <v>0</v>
      </c>
      <c r="I16" s="91">
        <v>0</v>
      </c>
      <c r="J16" s="64">
        <f t="shared" si="2"/>
        <v>0</v>
      </c>
      <c r="K16" s="64">
        <f t="shared" si="3"/>
        <v>0</v>
      </c>
    </row>
    <row r="17" spans="1:11">
      <c r="A17" s="48">
        <v>12</v>
      </c>
      <c r="B17" s="48" t="s">
        <v>15</v>
      </c>
      <c r="C17" s="50">
        <v>0.333333333333333</v>
      </c>
      <c r="D17" s="50">
        <v>0.5</v>
      </c>
      <c r="E17" s="50">
        <f t="shared" si="0"/>
        <v>0.166666666666667</v>
      </c>
      <c r="F17" s="50">
        <v>0.583333333333333</v>
      </c>
      <c r="G17" s="50">
        <v>0.75</v>
      </c>
      <c r="H17" s="50">
        <f t="shared" si="1"/>
        <v>0.166666666666667</v>
      </c>
      <c r="I17" s="66">
        <v>0.333333333333333</v>
      </c>
      <c r="J17" s="64">
        <f t="shared" si="2"/>
        <v>0.333333333333334</v>
      </c>
      <c r="K17" s="64">
        <f t="shared" si="3"/>
        <v>9.99200722162641e-16</v>
      </c>
    </row>
    <row r="18" spans="1:11">
      <c r="A18" s="48">
        <v>13</v>
      </c>
      <c r="B18" s="48" t="s">
        <v>16</v>
      </c>
      <c r="C18" s="50">
        <v>0.326388888888889</v>
      </c>
      <c r="D18" s="50">
        <v>0.5</v>
      </c>
      <c r="E18" s="50">
        <f t="shared" si="0"/>
        <v>0.173611111111111</v>
      </c>
      <c r="F18" s="50">
        <v>0.583333333333333</v>
      </c>
      <c r="G18" s="50">
        <v>0.75</v>
      </c>
      <c r="H18" s="50">
        <f t="shared" si="1"/>
        <v>0.166666666666667</v>
      </c>
      <c r="I18" s="64">
        <v>0.333333333333333</v>
      </c>
      <c r="J18" s="64">
        <f t="shared" si="2"/>
        <v>0.340277777777778</v>
      </c>
      <c r="K18" s="64">
        <f t="shared" si="3"/>
        <v>0.00694444444444497</v>
      </c>
    </row>
    <row r="19" spans="1:11">
      <c r="A19" s="48">
        <v>14</v>
      </c>
      <c r="B19" s="48" t="s">
        <v>17</v>
      </c>
      <c r="C19" s="50">
        <v>0.3125</v>
      </c>
      <c r="D19" s="50">
        <v>0.5</v>
      </c>
      <c r="E19" s="50">
        <f t="shared" si="0"/>
        <v>0.1875</v>
      </c>
      <c r="F19" s="50">
        <v>0.583333333333333</v>
      </c>
      <c r="G19" s="50">
        <v>0.75</v>
      </c>
      <c r="H19" s="50">
        <f t="shared" si="1"/>
        <v>0.166666666666667</v>
      </c>
      <c r="I19" s="64">
        <v>0.333333333333333</v>
      </c>
      <c r="J19" s="64">
        <f t="shared" si="2"/>
        <v>0.354166666666667</v>
      </c>
      <c r="K19" s="64">
        <f t="shared" si="3"/>
        <v>0.020833333333334</v>
      </c>
    </row>
    <row r="20" spans="1:11">
      <c r="A20" s="48">
        <v>15</v>
      </c>
      <c r="B20" s="48" t="s">
        <v>18</v>
      </c>
      <c r="C20" s="50">
        <v>0.319444444444444</v>
      </c>
      <c r="D20" s="50">
        <v>0.5</v>
      </c>
      <c r="E20" s="50">
        <f t="shared" si="0"/>
        <v>0.180555555555556</v>
      </c>
      <c r="F20" s="50">
        <v>0.583333333333333</v>
      </c>
      <c r="G20" s="50">
        <v>0.791666666666667</v>
      </c>
      <c r="H20" s="50">
        <f t="shared" si="1"/>
        <v>0.208333333333334</v>
      </c>
      <c r="I20" s="64">
        <v>0.333333333333333</v>
      </c>
      <c r="J20" s="64">
        <f t="shared" si="2"/>
        <v>0.38888888888889</v>
      </c>
      <c r="K20" s="64">
        <f t="shared" si="3"/>
        <v>0.055555555555557</v>
      </c>
    </row>
    <row r="21" spans="1:11">
      <c r="A21" s="48">
        <v>16</v>
      </c>
      <c r="B21" s="48" t="s">
        <v>19</v>
      </c>
      <c r="C21" s="50">
        <v>0.322916666666667</v>
      </c>
      <c r="D21" s="50">
        <v>0.5</v>
      </c>
      <c r="E21" s="50">
        <f t="shared" si="0"/>
        <v>0.177083333333333</v>
      </c>
      <c r="F21" s="50">
        <v>0.583333333333333</v>
      </c>
      <c r="G21" s="50">
        <v>0.75</v>
      </c>
      <c r="H21" s="50">
        <f t="shared" si="1"/>
        <v>0.166666666666667</v>
      </c>
      <c r="I21" s="64">
        <v>0.333333333333333</v>
      </c>
      <c r="J21" s="64">
        <f t="shared" si="2"/>
        <v>0.34375</v>
      </c>
      <c r="K21" s="64">
        <f t="shared" si="3"/>
        <v>0.010416666666667</v>
      </c>
    </row>
    <row r="22" spans="1:11">
      <c r="A22" s="48">
        <v>17</v>
      </c>
      <c r="B22" s="48" t="s">
        <v>20</v>
      </c>
      <c r="C22" s="50">
        <v>0.3125</v>
      </c>
      <c r="D22" s="50">
        <v>0.5</v>
      </c>
      <c r="E22" s="50">
        <f t="shared" si="0"/>
        <v>0.1875</v>
      </c>
      <c r="F22" s="50">
        <v>0</v>
      </c>
      <c r="G22" s="50">
        <v>0</v>
      </c>
      <c r="H22" s="50">
        <f t="shared" si="1"/>
        <v>0</v>
      </c>
      <c r="I22" s="64">
        <v>0.166666666666667</v>
      </c>
      <c r="J22" s="64">
        <f t="shared" si="2"/>
        <v>0.1875</v>
      </c>
      <c r="K22" s="64">
        <f t="shared" si="3"/>
        <v>0.020833333333333</v>
      </c>
    </row>
    <row r="23" spans="1:11">
      <c r="A23" s="88">
        <v>0</v>
      </c>
      <c r="B23" s="88" t="s">
        <v>14</v>
      </c>
      <c r="C23" s="90">
        <v>0</v>
      </c>
      <c r="D23" s="90">
        <v>0</v>
      </c>
      <c r="E23" s="50">
        <f t="shared" si="0"/>
        <v>0</v>
      </c>
      <c r="F23" s="90">
        <v>0</v>
      </c>
      <c r="G23" s="90">
        <v>0</v>
      </c>
      <c r="H23" s="50">
        <f t="shared" si="1"/>
        <v>0</v>
      </c>
      <c r="I23" s="91">
        <v>0</v>
      </c>
      <c r="J23" s="64">
        <f t="shared" si="2"/>
        <v>0</v>
      </c>
      <c r="K23" s="64">
        <f t="shared" si="3"/>
        <v>0</v>
      </c>
    </row>
    <row r="24" spans="1:11">
      <c r="A24" s="48">
        <v>19</v>
      </c>
      <c r="B24" s="48" t="s">
        <v>15</v>
      </c>
      <c r="C24" s="50">
        <v>0.319444444444444</v>
      </c>
      <c r="D24" s="50">
        <v>0.5</v>
      </c>
      <c r="E24" s="50">
        <f t="shared" si="0"/>
        <v>0.180555555555556</v>
      </c>
      <c r="F24" s="50">
        <v>0.541666666666667</v>
      </c>
      <c r="G24" s="50">
        <v>0.75</v>
      </c>
      <c r="H24" s="50">
        <f t="shared" si="1"/>
        <v>0.208333333333333</v>
      </c>
      <c r="I24" s="66">
        <v>0.333333333333333</v>
      </c>
      <c r="J24" s="64">
        <f t="shared" si="2"/>
        <v>0.388888888888889</v>
      </c>
      <c r="K24" s="64">
        <f t="shared" si="3"/>
        <v>0.0555555555555561</v>
      </c>
    </row>
    <row r="25" spans="1:11">
      <c r="A25" s="48">
        <v>20</v>
      </c>
      <c r="B25" s="48" t="s">
        <v>16</v>
      </c>
      <c r="C25" s="50">
        <v>0.322916666666667</v>
      </c>
      <c r="D25" s="50">
        <v>0.5</v>
      </c>
      <c r="E25" s="50">
        <f t="shared" si="0"/>
        <v>0.177083333333333</v>
      </c>
      <c r="F25" s="50">
        <v>0.583333333333333</v>
      </c>
      <c r="G25" s="50">
        <v>0.770833333333333</v>
      </c>
      <c r="H25" s="50">
        <f t="shared" si="1"/>
        <v>0.1875</v>
      </c>
      <c r="I25" s="64">
        <v>0.333333333333333</v>
      </c>
      <c r="J25" s="64">
        <f t="shared" si="2"/>
        <v>0.364583333333333</v>
      </c>
      <c r="K25" s="64">
        <f t="shared" si="3"/>
        <v>0.03125</v>
      </c>
    </row>
    <row r="26" spans="1:11">
      <c r="A26" s="48">
        <v>21</v>
      </c>
      <c r="B26" s="48" t="s">
        <v>17</v>
      </c>
      <c r="C26" s="50">
        <v>0.319444444444444</v>
      </c>
      <c r="D26" s="50">
        <v>0.527777777777778</v>
      </c>
      <c r="E26" s="50">
        <f t="shared" si="0"/>
        <v>0.208333333333334</v>
      </c>
      <c r="F26" s="50">
        <v>0.5625</v>
      </c>
      <c r="G26" s="50">
        <v>0.791666666666667</v>
      </c>
      <c r="H26" s="50">
        <f t="shared" si="1"/>
        <v>0.229166666666667</v>
      </c>
      <c r="I26" s="64">
        <v>0.333333333333333</v>
      </c>
      <c r="J26" s="64">
        <f t="shared" si="2"/>
        <v>0.437500000000001</v>
      </c>
      <c r="K26" s="64">
        <f t="shared" si="3"/>
        <v>0.104166666666668</v>
      </c>
    </row>
    <row r="27" spans="1:11">
      <c r="A27" s="48">
        <v>22</v>
      </c>
      <c r="B27" s="48" t="s">
        <v>18</v>
      </c>
      <c r="C27" s="50">
        <v>0.322916666666667</v>
      </c>
      <c r="D27" s="50">
        <v>0.5</v>
      </c>
      <c r="E27" s="50">
        <f t="shared" si="0"/>
        <v>0.177083333333333</v>
      </c>
      <c r="F27" s="50">
        <v>0.583333333333333</v>
      </c>
      <c r="G27" s="50">
        <v>0.75</v>
      </c>
      <c r="H27" s="50">
        <f t="shared" si="1"/>
        <v>0.166666666666667</v>
      </c>
      <c r="I27" s="64">
        <v>0.333333333333333</v>
      </c>
      <c r="J27" s="64">
        <f t="shared" si="2"/>
        <v>0.34375</v>
      </c>
      <c r="K27" s="64">
        <f t="shared" si="3"/>
        <v>0.010416666666667</v>
      </c>
    </row>
    <row r="28" spans="1:11">
      <c r="A28" s="48">
        <v>23</v>
      </c>
      <c r="B28" s="48" t="s">
        <v>19</v>
      </c>
      <c r="C28" s="50">
        <v>0.326388888888889</v>
      </c>
      <c r="D28" s="50">
        <v>0.5</v>
      </c>
      <c r="E28" s="50">
        <f t="shared" si="0"/>
        <v>0.173611111111111</v>
      </c>
      <c r="F28" s="50">
        <v>0.583333333333333</v>
      </c>
      <c r="G28" s="50">
        <v>0.75</v>
      </c>
      <c r="H28" s="50">
        <f t="shared" si="1"/>
        <v>0.166666666666667</v>
      </c>
      <c r="I28" s="64">
        <v>0.333333333333333</v>
      </c>
      <c r="J28" s="64">
        <f t="shared" si="2"/>
        <v>0.340277777777778</v>
      </c>
      <c r="K28" s="64">
        <f t="shared" si="3"/>
        <v>0.00694444444444497</v>
      </c>
    </row>
    <row r="29" spans="1:11">
      <c r="A29" s="48">
        <v>24</v>
      </c>
      <c r="B29" s="48" t="s">
        <v>20</v>
      </c>
      <c r="C29" s="50">
        <v>0.333333333333333</v>
      </c>
      <c r="D29" s="50">
        <v>0.5</v>
      </c>
      <c r="E29" s="50">
        <f t="shared" si="0"/>
        <v>0.166666666666667</v>
      </c>
      <c r="F29" s="50">
        <v>0</v>
      </c>
      <c r="G29" s="50">
        <v>0</v>
      </c>
      <c r="H29" s="50">
        <f t="shared" si="1"/>
        <v>0</v>
      </c>
      <c r="I29" s="64">
        <v>0.166666666666667</v>
      </c>
      <c r="J29" s="64">
        <f t="shared" si="2"/>
        <v>0.166666666666667</v>
      </c>
      <c r="K29" s="64">
        <f t="shared" si="3"/>
        <v>0</v>
      </c>
    </row>
    <row r="30" spans="1:11">
      <c r="A30" s="88">
        <v>25</v>
      </c>
      <c r="B30" s="88" t="s">
        <v>14</v>
      </c>
      <c r="C30" s="90">
        <v>0</v>
      </c>
      <c r="D30" s="90">
        <v>0</v>
      </c>
      <c r="E30" s="50">
        <f t="shared" si="0"/>
        <v>0</v>
      </c>
      <c r="F30" s="90">
        <v>0</v>
      </c>
      <c r="G30" s="90">
        <v>0</v>
      </c>
      <c r="H30" s="50">
        <f t="shared" si="1"/>
        <v>0</v>
      </c>
      <c r="I30" s="91">
        <v>0</v>
      </c>
      <c r="J30" s="64">
        <f t="shared" si="2"/>
        <v>0</v>
      </c>
      <c r="K30" s="64">
        <f t="shared" si="3"/>
        <v>0</v>
      </c>
    </row>
    <row r="31" spans="1:11">
      <c r="A31" s="48">
        <v>26</v>
      </c>
      <c r="B31" s="48" t="s">
        <v>15</v>
      </c>
      <c r="C31" s="50">
        <v>0.3125</v>
      </c>
      <c r="D31" s="50">
        <v>0.5</v>
      </c>
      <c r="E31" s="50">
        <f t="shared" si="0"/>
        <v>0.1875</v>
      </c>
      <c r="F31" s="50">
        <v>0.583333333333333</v>
      </c>
      <c r="G31" s="50">
        <v>0.75</v>
      </c>
      <c r="H31" s="50">
        <f t="shared" si="1"/>
        <v>0.166666666666667</v>
      </c>
      <c r="I31" s="66">
        <v>0.333333333333333</v>
      </c>
      <c r="J31" s="64">
        <f t="shared" si="2"/>
        <v>0.354166666666667</v>
      </c>
      <c r="K31" s="64">
        <f t="shared" si="3"/>
        <v>0.020833333333334</v>
      </c>
    </row>
    <row r="32" spans="1:11">
      <c r="A32" s="48">
        <v>27</v>
      </c>
      <c r="B32" s="48" t="s">
        <v>16</v>
      </c>
      <c r="C32" s="50">
        <v>0.34375</v>
      </c>
      <c r="D32" s="50">
        <v>0.541666666666667</v>
      </c>
      <c r="E32" s="50">
        <f t="shared" si="0"/>
        <v>0.197916666666667</v>
      </c>
      <c r="F32" s="50">
        <v>0.583333333333333</v>
      </c>
      <c r="G32" s="50">
        <v>0.777777777777778</v>
      </c>
      <c r="H32" s="50">
        <f t="shared" si="1"/>
        <v>0.194444444444445</v>
      </c>
      <c r="I32" s="64">
        <v>0.333333333333333</v>
      </c>
      <c r="J32" s="64">
        <f t="shared" si="2"/>
        <v>0.392361111111112</v>
      </c>
      <c r="K32" s="64">
        <f t="shared" si="3"/>
        <v>0.059027777777779</v>
      </c>
    </row>
    <row r="33" spans="1:11">
      <c r="A33" s="48">
        <v>28</v>
      </c>
      <c r="B33" s="48" t="s">
        <v>17</v>
      </c>
      <c r="C33" s="50">
        <v>0.326388888888889</v>
      </c>
      <c r="D33" s="50">
        <v>0.5</v>
      </c>
      <c r="E33" s="50">
        <f t="shared" si="0"/>
        <v>0.173611111111111</v>
      </c>
      <c r="F33" s="50">
        <v>0.583333333333333</v>
      </c>
      <c r="G33" s="50">
        <v>0.75</v>
      </c>
      <c r="H33" s="50">
        <f t="shared" si="1"/>
        <v>0.166666666666667</v>
      </c>
      <c r="I33" s="64">
        <v>0.333333333333333</v>
      </c>
      <c r="J33" s="64">
        <f t="shared" si="2"/>
        <v>0.340277777777778</v>
      </c>
      <c r="K33" s="64">
        <f t="shared" si="3"/>
        <v>0.00694444444444497</v>
      </c>
    </row>
    <row r="34" spans="1:11">
      <c r="A34" s="48">
        <v>29</v>
      </c>
      <c r="B34" s="48" t="s">
        <v>18</v>
      </c>
      <c r="C34" s="50">
        <v>0.326388888888889</v>
      </c>
      <c r="D34" s="50">
        <v>0.583333333333333</v>
      </c>
      <c r="E34" s="50">
        <f t="shared" si="0"/>
        <v>0.256944444444444</v>
      </c>
      <c r="F34" s="50">
        <v>0.583333333333333</v>
      </c>
      <c r="G34" s="50">
        <v>0.75</v>
      </c>
      <c r="H34" s="50">
        <f t="shared" si="1"/>
        <v>0.166666666666667</v>
      </c>
      <c r="I34" s="64">
        <v>0.333333333333333</v>
      </c>
      <c r="J34" s="64">
        <f t="shared" si="2"/>
        <v>0.423611111111111</v>
      </c>
      <c r="K34" s="64">
        <f t="shared" si="3"/>
        <v>0.090277777777778</v>
      </c>
    </row>
    <row r="35" spans="1:11">
      <c r="A35" s="48">
        <v>30</v>
      </c>
      <c r="B35" s="48" t="s">
        <v>19</v>
      </c>
      <c r="C35" s="50">
        <v>0.333333333333333</v>
      </c>
      <c r="D35" s="50">
        <v>0.5</v>
      </c>
      <c r="E35" s="50">
        <f t="shared" si="0"/>
        <v>0.166666666666667</v>
      </c>
      <c r="F35" s="50">
        <v>0.583333333333333</v>
      </c>
      <c r="G35" s="50">
        <v>0.75</v>
      </c>
      <c r="H35" s="50">
        <f t="shared" si="1"/>
        <v>0.166666666666667</v>
      </c>
      <c r="I35" s="64">
        <v>0.333333333333333</v>
      </c>
      <c r="J35" s="64">
        <f t="shared" si="2"/>
        <v>0.333333333333334</v>
      </c>
      <c r="K35" s="64">
        <f t="shared" si="3"/>
        <v>9.99200722162641e-16</v>
      </c>
    </row>
    <row r="36" spans="1:11">
      <c r="A36" s="48"/>
      <c r="B36" s="48"/>
      <c r="C36" s="50"/>
      <c r="D36" s="50"/>
      <c r="E36" s="50"/>
      <c r="F36" s="50"/>
      <c r="G36" s="50"/>
      <c r="H36" s="50"/>
      <c r="I36" s="64"/>
      <c r="J36" s="64"/>
      <c r="K36" s="64"/>
    </row>
    <row r="37" spans="1:11">
      <c r="A37" s="48"/>
      <c r="B37" s="48"/>
      <c r="C37" s="50"/>
      <c r="D37" s="50"/>
      <c r="E37" s="50"/>
      <c r="F37" s="50"/>
      <c r="G37" s="50"/>
      <c r="H37" s="50"/>
      <c r="I37" s="64">
        <f>SUM(I6:I36)</f>
        <v>7.66666666666666</v>
      </c>
      <c r="J37" s="64">
        <f>SUM(J6:J36)</f>
        <v>8.25000000000001</v>
      </c>
      <c r="K37" s="64">
        <f>J37-I37</f>
        <v>0.583333333333345</v>
      </c>
    </row>
    <row r="38" spans="1:11">
      <c r="A38" s="99"/>
      <c r="B38" s="99"/>
      <c r="C38" s="100"/>
      <c r="D38" s="100"/>
      <c r="E38" s="100"/>
      <c r="F38" s="100"/>
      <c r="G38" s="100"/>
      <c r="H38" s="100"/>
      <c r="I38" s="107"/>
      <c r="J38" s="107"/>
      <c r="K38" s="99"/>
    </row>
    <row r="39" spans="1:11">
      <c r="A39" s="101" t="s">
        <v>21</v>
      </c>
      <c r="B39" s="101"/>
      <c r="C39" s="100">
        <f>J37</f>
        <v>8.25000000000001</v>
      </c>
      <c r="D39" s="100"/>
      <c r="E39" s="100"/>
      <c r="F39" s="100"/>
      <c r="G39" s="100"/>
      <c r="H39" s="100"/>
      <c r="I39" s="107"/>
      <c r="J39" s="107"/>
      <c r="K39" s="99"/>
    </row>
    <row r="40" spans="1:11">
      <c r="A40" s="101" t="s">
        <v>22</v>
      </c>
      <c r="B40" s="101"/>
      <c r="C40" s="100">
        <f>I37</f>
        <v>7.66666666666666</v>
      </c>
      <c r="D40" s="102"/>
      <c r="E40" s="102"/>
      <c r="F40" s="102"/>
      <c r="G40" s="102"/>
      <c r="H40" s="102"/>
      <c r="I40" s="99"/>
      <c r="J40" s="99"/>
      <c r="K40" s="99"/>
    </row>
    <row r="41" spans="1:11">
      <c r="A41" s="103"/>
      <c r="B41" s="103"/>
      <c r="C41" s="102"/>
      <c r="D41" s="102"/>
      <c r="E41" s="102"/>
      <c r="F41" s="102"/>
      <c r="G41" s="102"/>
      <c r="H41" s="102"/>
      <c r="I41" s="99"/>
      <c r="J41" s="99"/>
      <c r="K41" s="99"/>
    </row>
    <row r="42" spans="1:11">
      <c r="A42" s="99"/>
      <c r="B42" s="99" t="s">
        <v>13</v>
      </c>
      <c r="C42" s="100">
        <f>C39-C40</f>
        <v>0.583333333333345</v>
      </c>
      <c r="D42" s="102"/>
      <c r="E42" s="102"/>
      <c r="F42" s="102"/>
      <c r="G42" s="102"/>
      <c r="H42" s="102"/>
      <c r="I42" s="99"/>
      <c r="J42" s="99"/>
      <c r="K42" s="99"/>
    </row>
    <row r="43" spans="1:11">
      <c r="A43" s="99"/>
      <c r="B43" s="99"/>
      <c r="C43" s="102"/>
      <c r="D43" s="102"/>
      <c r="E43" s="102"/>
      <c r="F43" s="102"/>
      <c r="G43" s="102"/>
      <c r="H43" s="102"/>
      <c r="I43" s="99"/>
      <c r="J43" s="99"/>
      <c r="K43" s="99"/>
    </row>
    <row r="44" spans="1:11">
      <c r="A44" s="104" t="s">
        <v>30</v>
      </c>
      <c r="B44" s="104"/>
      <c r="C44" s="104"/>
      <c r="D44" s="104"/>
      <c r="E44" s="104"/>
      <c r="F44" s="104"/>
      <c r="G44" s="104"/>
      <c r="H44" s="104"/>
      <c r="I44" s="104"/>
      <c r="J44" s="104"/>
      <c r="K44" s="99"/>
    </row>
  </sheetData>
  <mergeCells count="10">
    <mergeCell ref="A1:K1"/>
    <mergeCell ref="A2:B2"/>
    <mergeCell ref="C2:K2"/>
    <mergeCell ref="A3:B3"/>
    <mergeCell ref="C3:K3"/>
    <mergeCell ref="C4:E4"/>
    <mergeCell ref="F4:H4"/>
    <mergeCell ref="A39:B39"/>
    <mergeCell ref="A40:B40"/>
    <mergeCell ref="A44:J44"/>
  </mergeCells>
  <pageMargins left="0.511805555555555" right="0.511805555555555" top="0.7875" bottom="0.7875" header="0.511805555555555" footer="0.511805555555555"/>
  <pageSetup paperSize="9" firstPageNumber="0" orientation="portrait" useFirstPageNumber="1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"/>
  <sheetViews>
    <sheetView topLeftCell="A13" workbookViewId="0">
      <selection activeCell="A1" sqref="A1:K1"/>
    </sheetView>
  </sheetViews>
  <sheetFormatPr defaultColWidth="9.01904761904762" defaultRowHeight="15"/>
  <sheetData>
    <row r="1" spans="1:11">
      <c r="A1" s="71" t="s">
        <v>27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spans="1:11">
      <c r="A2" s="72" t="s">
        <v>1</v>
      </c>
      <c r="B2" s="72"/>
      <c r="C2" s="72" t="s">
        <v>32</v>
      </c>
      <c r="D2" s="72"/>
      <c r="E2" s="72"/>
      <c r="F2" s="72"/>
      <c r="G2" s="72"/>
      <c r="H2" s="72"/>
      <c r="I2" s="72"/>
      <c r="J2" s="72"/>
      <c r="K2" s="72"/>
    </row>
    <row r="3" spans="1:11">
      <c r="A3" s="72" t="s">
        <v>3</v>
      </c>
      <c r="B3" s="72"/>
      <c r="C3" s="73" t="s">
        <v>33</v>
      </c>
      <c r="D3" s="73"/>
      <c r="E3" s="73"/>
      <c r="F3" s="73"/>
      <c r="G3" s="73"/>
      <c r="H3" s="73"/>
      <c r="I3" s="73"/>
      <c r="J3" s="73"/>
      <c r="K3" s="73"/>
    </row>
    <row r="4" spans="1:11">
      <c r="A4" s="74"/>
      <c r="B4" s="74"/>
      <c r="C4" s="75" t="s">
        <v>5</v>
      </c>
      <c r="D4" s="75"/>
      <c r="E4" s="75"/>
      <c r="F4" s="75" t="s">
        <v>6</v>
      </c>
      <c r="G4" s="75"/>
      <c r="H4" s="75"/>
      <c r="I4" s="74"/>
      <c r="J4" s="74"/>
      <c r="K4" s="76"/>
    </row>
    <row r="5" spans="1:11">
      <c r="A5" s="76"/>
      <c r="B5" s="71"/>
      <c r="C5" s="71" t="s">
        <v>7</v>
      </c>
      <c r="D5" s="71" t="s">
        <v>8</v>
      </c>
      <c r="E5" s="71" t="s">
        <v>9</v>
      </c>
      <c r="F5" s="71" t="s">
        <v>7</v>
      </c>
      <c r="G5" s="71" t="s">
        <v>10</v>
      </c>
      <c r="H5" s="71" t="s">
        <v>9</v>
      </c>
      <c r="I5" s="78" t="s">
        <v>11</v>
      </c>
      <c r="J5" s="78" t="s">
        <v>12</v>
      </c>
      <c r="K5" s="71" t="s">
        <v>13</v>
      </c>
    </row>
    <row r="6" spans="1:11">
      <c r="A6" s="48">
        <v>1</v>
      </c>
      <c r="B6" s="49" t="s">
        <v>20</v>
      </c>
      <c r="C6" s="50">
        <v>0.3125</v>
      </c>
      <c r="D6" s="50">
        <v>0.541666666666667</v>
      </c>
      <c r="E6" s="50">
        <f t="shared" ref="E6:E27" si="0">D6-C6</f>
        <v>0.229166666666667</v>
      </c>
      <c r="F6" s="90">
        <v>0</v>
      </c>
      <c r="G6" s="90">
        <v>0</v>
      </c>
      <c r="H6" s="90">
        <f t="shared" ref="H6:H36" si="1">G6-F6</f>
        <v>0</v>
      </c>
      <c r="I6" s="64">
        <v>0.166666666666667</v>
      </c>
      <c r="J6" s="64">
        <f t="shared" ref="J6:J36" si="2">E6+H6</f>
        <v>0.229166666666667</v>
      </c>
      <c r="K6" s="64">
        <f t="shared" ref="K6:K37" si="3">J6-I6</f>
        <v>0.0625</v>
      </c>
    </row>
    <row r="7" spans="1:11">
      <c r="A7" s="88">
        <v>2</v>
      </c>
      <c r="B7" s="89" t="s">
        <v>14</v>
      </c>
      <c r="C7" s="90">
        <v>0</v>
      </c>
      <c r="D7" s="90">
        <v>0</v>
      </c>
      <c r="E7" s="90">
        <f t="shared" si="0"/>
        <v>0</v>
      </c>
      <c r="F7" s="90">
        <v>0</v>
      </c>
      <c r="G7" s="90">
        <v>0</v>
      </c>
      <c r="H7" s="90">
        <f t="shared" si="1"/>
        <v>0</v>
      </c>
      <c r="I7" s="91">
        <v>0</v>
      </c>
      <c r="J7" s="91">
        <f t="shared" si="2"/>
        <v>0</v>
      </c>
      <c r="K7" s="91">
        <f t="shared" si="3"/>
        <v>0</v>
      </c>
    </row>
    <row r="8" spans="1:11">
      <c r="A8" s="48">
        <v>3</v>
      </c>
      <c r="B8" s="49" t="s">
        <v>15</v>
      </c>
      <c r="C8" s="50">
        <v>0.326388888888889</v>
      </c>
      <c r="D8" s="50">
        <v>0.5</v>
      </c>
      <c r="E8" s="50">
        <f t="shared" si="0"/>
        <v>0.173611111111111</v>
      </c>
      <c r="F8" s="50">
        <v>0.583333333333333</v>
      </c>
      <c r="G8" s="50">
        <v>0.763888888888889</v>
      </c>
      <c r="H8" s="50">
        <f t="shared" si="1"/>
        <v>0.180555555555556</v>
      </c>
      <c r="I8" s="64">
        <v>0.333333333333333</v>
      </c>
      <c r="J8" s="64">
        <f t="shared" si="2"/>
        <v>0.354166666666667</v>
      </c>
      <c r="K8" s="64">
        <f t="shared" si="3"/>
        <v>0.0208333333333339</v>
      </c>
    </row>
    <row r="9" spans="1:11">
      <c r="A9" s="48">
        <v>4</v>
      </c>
      <c r="B9" s="49" t="s">
        <v>16</v>
      </c>
      <c r="C9" s="50">
        <v>0.322916666666667</v>
      </c>
      <c r="D9" s="50">
        <v>0.5</v>
      </c>
      <c r="E9" s="50">
        <f t="shared" si="0"/>
        <v>0.177083333333333</v>
      </c>
      <c r="F9" s="50">
        <v>0.583333333333333</v>
      </c>
      <c r="G9" s="50">
        <v>0.763888888888889</v>
      </c>
      <c r="H9" s="50">
        <f t="shared" si="1"/>
        <v>0.180555555555556</v>
      </c>
      <c r="I9" s="64">
        <v>0.333333333333333</v>
      </c>
      <c r="J9" s="64">
        <f t="shared" si="2"/>
        <v>0.357638888888889</v>
      </c>
      <c r="K9" s="64">
        <f t="shared" si="3"/>
        <v>0.0243055555555559</v>
      </c>
    </row>
    <row r="10" spans="1:11">
      <c r="A10" s="48">
        <v>5</v>
      </c>
      <c r="B10" s="49" t="s">
        <v>17</v>
      </c>
      <c r="C10" s="50">
        <v>0.326388888888889</v>
      </c>
      <c r="D10" s="50">
        <v>0.5</v>
      </c>
      <c r="E10" s="50">
        <f t="shared" si="0"/>
        <v>0.173611111111111</v>
      </c>
      <c r="F10" s="50">
        <v>0.583333333333333</v>
      </c>
      <c r="G10" s="50">
        <v>0.770833333333333</v>
      </c>
      <c r="H10" s="50">
        <f t="shared" si="1"/>
        <v>0.1875</v>
      </c>
      <c r="I10" s="66">
        <v>0.333333333333333</v>
      </c>
      <c r="J10" s="64">
        <f t="shared" si="2"/>
        <v>0.361111111111111</v>
      </c>
      <c r="K10" s="64">
        <f t="shared" si="3"/>
        <v>0.027777777777778</v>
      </c>
    </row>
    <row r="11" spans="1:11">
      <c r="A11" s="48">
        <v>6</v>
      </c>
      <c r="B11" s="49" t="s">
        <v>18</v>
      </c>
      <c r="C11" s="50">
        <v>0.319444444444444</v>
      </c>
      <c r="D11" s="50">
        <v>0.541666666666667</v>
      </c>
      <c r="E11" s="50">
        <f t="shared" si="0"/>
        <v>0.222222222222223</v>
      </c>
      <c r="F11" s="50">
        <v>0.5625</v>
      </c>
      <c r="G11" s="50">
        <v>0.760416666666667</v>
      </c>
      <c r="H11" s="50">
        <f t="shared" si="1"/>
        <v>0.197916666666667</v>
      </c>
      <c r="I11" s="64">
        <v>0.333333333333333</v>
      </c>
      <c r="J11" s="64">
        <f t="shared" si="2"/>
        <v>0.42013888888889</v>
      </c>
      <c r="K11" s="64">
        <f t="shared" si="3"/>
        <v>0.086805555555557</v>
      </c>
    </row>
    <row r="12" spans="1:11">
      <c r="A12" s="48">
        <v>7</v>
      </c>
      <c r="B12" s="49" t="s">
        <v>19</v>
      </c>
      <c r="C12" s="50">
        <v>0.3125</v>
      </c>
      <c r="D12" s="50">
        <v>0.541666666666667</v>
      </c>
      <c r="E12" s="50">
        <f t="shared" si="0"/>
        <v>0.229166666666667</v>
      </c>
      <c r="F12" s="50">
        <v>0.583333333333333</v>
      </c>
      <c r="G12" s="50">
        <v>0.770833333333333</v>
      </c>
      <c r="H12" s="50">
        <f t="shared" si="1"/>
        <v>0.1875</v>
      </c>
      <c r="I12" s="64">
        <v>0.333333333333333</v>
      </c>
      <c r="J12" s="64">
        <f t="shared" si="2"/>
        <v>0.416666666666667</v>
      </c>
      <c r="K12" s="64">
        <f t="shared" si="3"/>
        <v>0.083333333333334</v>
      </c>
    </row>
    <row r="13" spans="1:11">
      <c r="A13" s="48">
        <v>8</v>
      </c>
      <c r="B13" s="49" t="s">
        <v>20</v>
      </c>
      <c r="C13" s="50">
        <v>0.333333333333333</v>
      </c>
      <c r="D13" s="50">
        <v>0.5</v>
      </c>
      <c r="E13" s="50">
        <f t="shared" si="0"/>
        <v>0.166666666666667</v>
      </c>
      <c r="F13" s="90">
        <v>0</v>
      </c>
      <c r="G13" s="90">
        <v>0</v>
      </c>
      <c r="H13" s="90">
        <f t="shared" si="1"/>
        <v>0</v>
      </c>
      <c r="I13" s="64">
        <v>0.166666666666667</v>
      </c>
      <c r="J13" s="64">
        <f t="shared" si="2"/>
        <v>0.166666666666667</v>
      </c>
      <c r="K13" s="64">
        <f t="shared" si="3"/>
        <v>0</v>
      </c>
    </row>
    <row r="14" spans="1:11">
      <c r="A14" s="88">
        <v>9</v>
      </c>
      <c r="B14" s="89" t="s">
        <v>14</v>
      </c>
      <c r="C14" s="90">
        <v>0</v>
      </c>
      <c r="D14" s="90">
        <v>0</v>
      </c>
      <c r="E14" s="90">
        <f t="shared" si="0"/>
        <v>0</v>
      </c>
      <c r="F14" s="90">
        <v>0</v>
      </c>
      <c r="G14" s="90">
        <v>0</v>
      </c>
      <c r="H14" s="90">
        <f t="shared" si="1"/>
        <v>0</v>
      </c>
      <c r="I14" s="91">
        <v>0</v>
      </c>
      <c r="J14" s="91">
        <f t="shared" si="2"/>
        <v>0</v>
      </c>
      <c r="K14" s="91">
        <f t="shared" si="3"/>
        <v>0</v>
      </c>
    </row>
    <row r="15" spans="1:11">
      <c r="A15" s="48">
        <v>10</v>
      </c>
      <c r="B15" s="49" t="s">
        <v>15</v>
      </c>
      <c r="C15" s="50">
        <v>0.326388888888889</v>
      </c>
      <c r="D15" s="50">
        <v>0.5</v>
      </c>
      <c r="E15" s="50">
        <f t="shared" si="0"/>
        <v>0.173611111111111</v>
      </c>
      <c r="F15" s="50">
        <v>0.583333333333333</v>
      </c>
      <c r="G15" s="50">
        <v>0.75</v>
      </c>
      <c r="H15" s="50">
        <f t="shared" si="1"/>
        <v>0.166666666666667</v>
      </c>
      <c r="I15" s="64">
        <v>0.333333333333333</v>
      </c>
      <c r="J15" s="64">
        <f t="shared" si="2"/>
        <v>0.340277777777778</v>
      </c>
      <c r="K15" s="64">
        <f t="shared" si="3"/>
        <v>0.00694444444444497</v>
      </c>
    </row>
    <row r="16" spans="1:11">
      <c r="A16" s="48">
        <v>11</v>
      </c>
      <c r="B16" s="49" t="s">
        <v>16</v>
      </c>
      <c r="C16" s="50">
        <v>0.322916666666667</v>
      </c>
      <c r="D16" s="50">
        <v>0.541666666666667</v>
      </c>
      <c r="E16" s="50">
        <f t="shared" si="0"/>
        <v>0.21875</v>
      </c>
      <c r="F16" s="50">
        <v>0.583333333333333</v>
      </c>
      <c r="G16" s="50">
        <v>0.75</v>
      </c>
      <c r="H16" s="50">
        <f t="shared" si="1"/>
        <v>0.166666666666667</v>
      </c>
      <c r="I16" s="64">
        <v>0.333333333333333</v>
      </c>
      <c r="J16" s="64">
        <f t="shared" si="2"/>
        <v>0.385416666666667</v>
      </c>
      <c r="K16" s="64">
        <f t="shared" si="3"/>
        <v>0.0520833333333339</v>
      </c>
    </row>
    <row r="17" spans="1:11">
      <c r="A17" s="88">
        <v>12</v>
      </c>
      <c r="B17" s="89" t="s">
        <v>17</v>
      </c>
      <c r="C17" s="90">
        <v>0</v>
      </c>
      <c r="D17" s="90">
        <v>0</v>
      </c>
      <c r="E17" s="90">
        <f t="shared" si="0"/>
        <v>0</v>
      </c>
      <c r="F17" s="90">
        <v>0</v>
      </c>
      <c r="G17" s="90">
        <v>0</v>
      </c>
      <c r="H17" s="90">
        <f t="shared" si="1"/>
        <v>0</v>
      </c>
      <c r="I17" s="93">
        <v>0</v>
      </c>
      <c r="J17" s="91">
        <f t="shared" si="2"/>
        <v>0</v>
      </c>
      <c r="K17" s="91">
        <f t="shared" si="3"/>
        <v>0</v>
      </c>
    </row>
    <row r="18" spans="1:11">
      <c r="A18" s="48">
        <v>13</v>
      </c>
      <c r="B18" s="49" t="s">
        <v>18</v>
      </c>
      <c r="C18" s="50">
        <v>0.322916666666667</v>
      </c>
      <c r="D18" s="50">
        <v>0.5</v>
      </c>
      <c r="E18" s="50">
        <f t="shared" si="0"/>
        <v>0.177083333333333</v>
      </c>
      <c r="F18" s="50">
        <v>0.583333333333333</v>
      </c>
      <c r="G18" s="50">
        <v>0.75</v>
      </c>
      <c r="H18" s="50">
        <f t="shared" si="1"/>
        <v>0.166666666666667</v>
      </c>
      <c r="I18" s="64">
        <v>0.333333333333333</v>
      </c>
      <c r="J18" s="64">
        <f t="shared" si="2"/>
        <v>0.34375</v>
      </c>
      <c r="K18" s="64">
        <f t="shared" si="3"/>
        <v>0.010416666666667</v>
      </c>
    </row>
    <row r="19" spans="1:11">
      <c r="A19" s="48">
        <v>14</v>
      </c>
      <c r="B19" s="49" t="s">
        <v>19</v>
      </c>
      <c r="C19" s="50">
        <v>0.322916666666667</v>
      </c>
      <c r="D19" s="50">
        <v>0.5</v>
      </c>
      <c r="E19" s="50">
        <f t="shared" si="0"/>
        <v>0.177083333333333</v>
      </c>
      <c r="F19" s="50">
        <v>0.583333333333333</v>
      </c>
      <c r="G19" s="50">
        <v>0.75</v>
      </c>
      <c r="H19" s="50">
        <f t="shared" si="1"/>
        <v>0.166666666666667</v>
      </c>
      <c r="I19" s="64">
        <v>0.333333333333333</v>
      </c>
      <c r="J19" s="64">
        <f t="shared" si="2"/>
        <v>0.34375</v>
      </c>
      <c r="K19" s="64">
        <f t="shared" si="3"/>
        <v>0.010416666666667</v>
      </c>
    </row>
    <row r="20" spans="1:11">
      <c r="A20" s="48">
        <v>15</v>
      </c>
      <c r="B20" s="49" t="s">
        <v>20</v>
      </c>
      <c r="C20" s="50">
        <v>0.326388888888889</v>
      </c>
      <c r="D20" s="50">
        <v>0.5</v>
      </c>
      <c r="E20" s="50">
        <f t="shared" si="0"/>
        <v>0.173611111111111</v>
      </c>
      <c r="F20" s="90">
        <v>0</v>
      </c>
      <c r="G20" s="90">
        <v>0</v>
      </c>
      <c r="H20" s="50">
        <f t="shared" si="1"/>
        <v>0</v>
      </c>
      <c r="I20" s="64">
        <v>0.166666666666667</v>
      </c>
      <c r="J20" s="64">
        <f t="shared" si="2"/>
        <v>0.173611111111111</v>
      </c>
      <c r="K20" s="64">
        <f t="shared" si="3"/>
        <v>0.006944444444444</v>
      </c>
    </row>
    <row r="21" spans="1:11">
      <c r="A21" s="88">
        <v>16</v>
      </c>
      <c r="B21" s="89" t="s">
        <v>14</v>
      </c>
      <c r="C21" s="90">
        <v>0</v>
      </c>
      <c r="D21" s="90">
        <v>0</v>
      </c>
      <c r="E21" s="90">
        <f t="shared" si="0"/>
        <v>0</v>
      </c>
      <c r="F21" s="90">
        <v>0</v>
      </c>
      <c r="G21" s="90">
        <v>0</v>
      </c>
      <c r="H21" s="90">
        <f t="shared" si="1"/>
        <v>0</v>
      </c>
      <c r="I21" s="91">
        <v>0</v>
      </c>
      <c r="J21" s="91">
        <f t="shared" si="2"/>
        <v>0</v>
      </c>
      <c r="K21" s="91">
        <f t="shared" si="3"/>
        <v>0</v>
      </c>
    </row>
    <row r="22" spans="1:11">
      <c r="A22" s="48">
        <v>17</v>
      </c>
      <c r="B22" s="49" t="s">
        <v>15</v>
      </c>
      <c r="C22" s="50">
        <v>0.326388888888889</v>
      </c>
      <c r="D22" s="50">
        <v>0.5</v>
      </c>
      <c r="E22" s="50">
        <f t="shared" si="0"/>
        <v>0.173611111111111</v>
      </c>
      <c r="F22" s="50">
        <v>0.583333333333333</v>
      </c>
      <c r="G22" s="50">
        <v>0.760416666666667</v>
      </c>
      <c r="H22" s="50">
        <f t="shared" si="1"/>
        <v>0.177083333333334</v>
      </c>
      <c r="I22" s="64">
        <v>0.333333333333333</v>
      </c>
      <c r="J22" s="64">
        <f t="shared" si="2"/>
        <v>0.350694444444445</v>
      </c>
      <c r="K22" s="64">
        <f t="shared" si="3"/>
        <v>0.0173611111111119</v>
      </c>
    </row>
    <row r="23" spans="1:11">
      <c r="A23" s="48">
        <v>18</v>
      </c>
      <c r="B23" s="49" t="s">
        <v>16</v>
      </c>
      <c r="C23" s="50">
        <v>0.333333333333333</v>
      </c>
      <c r="D23" s="50">
        <v>0.5</v>
      </c>
      <c r="E23" s="50">
        <f t="shared" si="0"/>
        <v>0.166666666666667</v>
      </c>
      <c r="F23" s="50">
        <v>0.583333333333333</v>
      </c>
      <c r="G23" s="50">
        <v>0.75</v>
      </c>
      <c r="H23" s="50">
        <f t="shared" si="1"/>
        <v>0.166666666666667</v>
      </c>
      <c r="I23" s="64">
        <v>0.333333333333333</v>
      </c>
      <c r="J23" s="64">
        <f t="shared" si="2"/>
        <v>0.333333333333334</v>
      </c>
      <c r="K23" s="64">
        <f t="shared" si="3"/>
        <v>9.99200722162641e-16</v>
      </c>
    </row>
    <row r="24" spans="1:11">
      <c r="A24" s="48">
        <v>19</v>
      </c>
      <c r="B24" s="49" t="s">
        <v>17</v>
      </c>
      <c r="C24" s="50">
        <v>0.333333333333333</v>
      </c>
      <c r="D24" s="50">
        <v>0.5</v>
      </c>
      <c r="E24" s="50">
        <f t="shared" si="0"/>
        <v>0.166666666666667</v>
      </c>
      <c r="F24" s="50">
        <v>0.583333333333333</v>
      </c>
      <c r="G24" s="50">
        <v>0.75</v>
      </c>
      <c r="H24" s="50">
        <f t="shared" si="1"/>
        <v>0.166666666666667</v>
      </c>
      <c r="I24" s="66">
        <v>0.333333333333333</v>
      </c>
      <c r="J24" s="64">
        <f t="shared" si="2"/>
        <v>0.333333333333334</v>
      </c>
      <c r="K24" s="64">
        <f t="shared" si="3"/>
        <v>9.99200722162641e-16</v>
      </c>
    </row>
    <row r="25" spans="1:11">
      <c r="A25" s="48">
        <v>20</v>
      </c>
      <c r="B25" s="49" t="s">
        <v>18</v>
      </c>
      <c r="C25" s="50">
        <v>0.333333333333333</v>
      </c>
      <c r="D25" s="50">
        <v>0.5</v>
      </c>
      <c r="E25" s="50">
        <f t="shared" si="0"/>
        <v>0.166666666666667</v>
      </c>
      <c r="F25" s="50">
        <v>0.583333333333333</v>
      </c>
      <c r="G25" s="50">
        <v>0.777777777777778</v>
      </c>
      <c r="H25" s="50">
        <f t="shared" si="1"/>
        <v>0.194444444444445</v>
      </c>
      <c r="I25" s="64">
        <v>0.333333333333333</v>
      </c>
      <c r="J25" s="64">
        <f t="shared" si="2"/>
        <v>0.361111111111112</v>
      </c>
      <c r="K25" s="64">
        <f t="shared" si="3"/>
        <v>0.027777777777779</v>
      </c>
    </row>
    <row r="26" spans="1:11">
      <c r="A26" s="48">
        <v>21</v>
      </c>
      <c r="B26" s="49" t="s">
        <v>19</v>
      </c>
      <c r="C26" s="50">
        <v>0.333333333333333</v>
      </c>
      <c r="D26" s="50">
        <v>0.5</v>
      </c>
      <c r="E26" s="50">
        <f t="shared" si="0"/>
        <v>0.166666666666667</v>
      </c>
      <c r="F26" s="50">
        <v>0.583333333333333</v>
      </c>
      <c r="G26" s="50">
        <v>0.770833333333333</v>
      </c>
      <c r="H26" s="50">
        <f t="shared" si="1"/>
        <v>0.1875</v>
      </c>
      <c r="I26" s="64">
        <v>0.333333333333333</v>
      </c>
      <c r="J26" s="64">
        <f t="shared" si="2"/>
        <v>0.354166666666667</v>
      </c>
      <c r="K26" s="64">
        <f t="shared" si="3"/>
        <v>0.020833333333334</v>
      </c>
    </row>
    <row r="27" spans="1:11">
      <c r="A27" s="48">
        <v>22</v>
      </c>
      <c r="B27" s="49" t="s">
        <v>20</v>
      </c>
      <c r="C27" s="50">
        <v>0.319444444444444</v>
      </c>
      <c r="D27" s="50">
        <v>0.541666666666667</v>
      </c>
      <c r="E27" s="50">
        <f t="shared" si="0"/>
        <v>0.222222222222223</v>
      </c>
      <c r="F27" s="90">
        <v>0</v>
      </c>
      <c r="G27" s="90">
        <v>0</v>
      </c>
      <c r="H27" s="50">
        <f t="shared" si="1"/>
        <v>0</v>
      </c>
      <c r="I27" s="64">
        <v>0.166666666666667</v>
      </c>
      <c r="J27" s="64">
        <f t="shared" si="2"/>
        <v>0.222222222222223</v>
      </c>
      <c r="K27" s="64">
        <f t="shared" si="3"/>
        <v>0.055555555555556</v>
      </c>
    </row>
    <row r="28" spans="1:11">
      <c r="A28" s="88">
        <v>23</v>
      </c>
      <c r="B28" s="89" t="s">
        <v>14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f t="shared" si="1"/>
        <v>0</v>
      </c>
      <c r="I28" s="91">
        <v>0</v>
      </c>
      <c r="J28" s="91">
        <f t="shared" si="2"/>
        <v>0</v>
      </c>
      <c r="K28" s="91">
        <f t="shared" si="3"/>
        <v>0</v>
      </c>
    </row>
    <row r="29" spans="1:11">
      <c r="A29" s="88">
        <v>24</v>
      </c>
      <c r="B29" s="89" t="s">
        <v>15</v>
      </c>
      <c r="C29" s="90">
        <v>0</v>
      </c>
      <c r="D29" s="90">
        <v>0</v>
      </c>
      <c r="E29" s="90">
        <f t="shared" ref="E29:E36" si="4">D29-C29</f>
        <v>0</v>
      </c>
      <c r="F29" s="90">
        <v>0</v>
      </c>
      <c r="G29" s="90">
        <v>0</v>
      </c>
      <c r="H29" s="90">
        <f t="shared" si="1"/>
        <v>0</v>
      </c>
      <c r="I29" s="91">
        <v>0</v>
      </c>
      <c r="J29" s="91">
        <f t="shared" si="2"/>
        <v>0</v>
      </c>
      <c r="K29" s="91">
        <f t="shared" si="3"/>
        <v>0</v>
      </c>
    </row>
    <row r="30" spans="1:11">
      <c r="A30" s="92">
        <v>25</v>
      </c>
      <c r="B30" s="49" t="s">
        <v>16</v>
      </c>
      <c r="C30" s="50">
        <v>0.326388888888889</v>
      </c>
      <c r="D30" s="50">
        <v>0.5</v>
      </c>
      <c r="E30" s="50">
        <f t="shared" si="4"/>
        <v>0.173611111111111</v>
      </c>
      <c r="F30" s="50">
        <v>0.583333333333333</v>
      </c>
      <c r="G30" s="50">
        <v>0.770833333333333</v>
      </c>
      <c r="H30" s="50">
        <f t="shared" si="1"/>
        <v>0.1875</v>
      </c>
      <c r="I30" s="64">
        <v>0.333333333333333</v>
      </c>
      <c r="J30" s="64">
        <f t="shared" si="2"/>
        <v>0.361111111111111</v>
      </c>
      <c r="K30" s="64">
        <f t="shared" si="3"/>
        <v>0.027777777777778</v>
      </c>
    </row>
    <row r="31" spans="1:11">
      <c r="A31" s="48">
        <v>26</v>
      </c>
      <c r="B31" s="49" t="s">
        <v>17</v>
      </c>
      <c r="C31" s="50">
        <v>0.322916666666667</v>
      </c>
      <c r="D31" s="50">
        <v>0.5</v>
      </c>
      <c r="E31" s="50">
        <f t="shared" si="4"/>
        <v>0.177083333333333</v>
      </c>
      <c r="F31" s="50">
        <v>0.583333333333333</v>
      </c>
      <c r="G31" s="50">
        <v>0.767361111111111</v>
      </c>
      <c r="H31" s="50">
        <f t="shared" si="1"/>
        <v>0.184027777777778</v>
      </c>
      <c r="I31" s="66">
        <v>0.333333333333333</v>
      </c>
      <c r="J31" s="64">
        <f t="shared" si="2"/>
        <v>0.361111111111111</v>
      </c>
      <c r="K31" s="64">
        <f t="shared" si="3"/>
        <v>0.027777777777778</v>
      </c>
    </row>
    <row r="32" spans="1:11">
      <c r="A32" s="48">
        <v>27</v>
      </c>
      <c r="B32" s="49" t="s">
        <v>18</v>
      </c>
      <c r="C32" s="50">
        <v>0.333333333333333</v>
      </c>
      <c r="D32" s="50">
        <v>0.5</v>
      </c>
      <c r="E32" s="50">
        <f t="shared" si="4"/>
        <v>0.166666666666667</v>
      </c>
      <c r="F32" s="50">
        <v>0.583333333333333</v>
      </c>
      <c r="G32" s="50">
        <v>0.763888888888889</v>
      </c>
      <c r="H32" s="50">
        <f t="shared" si="1"/>
        <v>0.180555555555556</v>
      </c>
      <c r="I32" s="64">
        <v>0.333333333333333</v>
      </c>
      <c r="J32" s="64">
        <f t="shared" si="2"/>
        <v>0.347222222222223</v>
      </c>
      <c r="K32" s="64">
        <f t="shared" si="3"/>
        <v>0.0138888888888899</v>
      </c>
    </row>
    <row r="33" spans="1:11">
      <c r="A33" s="48">
        <v>28</v>
      </c>
      <c r="B33" s="49" t="s">
        <v>19</v>
      </c>
      <c r="C33" s="50">
        <v>0.333333333333333</v>
      </c>
      <c r="D33" s="50">
        <v>0.5</v>
      </c>
      <c r="E33" s="50">
        <f t="shared" si="4"/>
        <v>0.166666666666667</v>
      </c>
      <c r="F33" s="50">
        <v>0.583333333333333</v>
      </c>
      <c r="G33" s="50">
        <v>0.75</v>
      </c>
      <c r="H33" s="50">
        <f t="shared" si="1"/>
        <v>0.166666666666667</v>
      </c>
      <c r="I33" s="64">
        <v>0.333333333333333</v>
      </c>
      <c r="J33" s="64">
        <f t="shared" si="2"/>
        <v>0.333333333333334</v>
      </c>
      <c r="K33" s="64">
        <f t="shared" si="3"/>
        <v>9.99200722162641e-16</v>
      </c>
    </row>
    <row r="34" spans="1:11">
      <c r="A34" s="48">
        <v>29</v>
      </c>
      <c r="B34" s="49" t="s">
        <v>20</v>
      </c>
      <c r="C34" s="50">
        <v>0.333333333333333</v>
      </c>
      <c r="D34" s="50">
        <v>0.5</v>
      </c>
      <c r="E34" s="50">
        <f t="shared" si="4"/>
        <v>0.166666666666667</v>
      </c>
      <c r="F34" s="90">
        <v>0</v>
      </c>
      <c r="G34" s="90">
        <v>0</v>
      </c>
      <c r="H34" s="90">
        <f t="shared" si="1"/>
        <v>0</v>
      </c>
      <c r="I34" s="64">
        <v>0.166666666666667</v>
      </c>
      <c r="J34" s="64">
        <f t="shared" si="2"/>
        <v>0.166666666666667</v>
      </c>
      <c r="K34" s="64">
        <f t="shared" si="3"/>
        <v>0</v>
      </c>
    </row>
    <row r="35" spans="1:11">
      <c r="A35" s="88">
        <v>30</v>
      </c>
      <c r="B35" s="89" t="s">
        <v>14</v>
      </c>
      <c r="C35" s="90">
        <v>0</v>
      </c>
      <c r="D35" s="90">
        <v>0</v>
      </c>
      <c r="E35" s="90">
        <f t="shared" si="4"/>
        <v>0</v>
      </c>
      <c r="F35" s="90">
        <v>0</v>
      </c>
      <c r="G35" s="90">
        <v>0</v>
      </c>
      <c r="H35" s="90">
        <f t="shared" si="1"/>
        <v>0</v>
      </c>
      <c r="I35" s="91">
        <v>0</v>
      </c>
      <c r="J35" s="91">
        <f t="shared" si="2"/>
        <v>0</v>
      </c>
      <c r="K35" s="91">
        <f t="shared" si="3"/>
        <v>0</v>
      </c>
    </row>
    <row r="36" spans="1:11">
      <c r="A36" s="48">
        <v>31</v>
      </c>
      <c r="B36" s="49" t="s">
        <v>15</v>
      </c>
      <c r="C36" s="50">
        <v>0.322916666666667</v>
      </c>
      <c r="D36" s="50">
        <v>0.5</v>
      </c>
      <c r="E36" s="50">
        <f t="shared" si="4"/>
        <v>0.177083333333333</v>
      </c>
      <c r="F36" s="50">
        <v>0.583333333333333</v>
      </c>
      <c r="G36" s="50">
        <v>0.75</v>
      </c>
      <c r="H36" s="50">
        <f t="shared" si="1"/>
        <v>0.166666666666667</v>
      </c>
      <c r="I36" s="64">
        <v>0.333333333333333</v>
      </c>
      <c r="J36" s="64">
        <f t="shared" si="2"/>
        <v>0.34375</v>
      </c>
      <c r="K36" s="64">
        <f t="shared" si="3"/>
        <v>0.010416666666667</v>
      </c>
    </row>
    <row r="37" spans="1:11">
      <c r="A37" s="48"/>
      <c r="B37" s="48"/>
      <c r="C37" s="50"/>
      <c r="D37" s="50"/>
      <c r="E37" s="50"/>
      <c r="F37" s="50"/>
      <c r="G37" s="50"/>
      <c r="H37" s="50"/>
      <c r="I37" s="64">
        <f>SUM(I6:I36)</f>
        <v>7.16666666666666</v>
      </c>
      <c r="J37" s="64">
        <f>SUM(J6:J36)</f>
        <v>7.76041666666667</v>
      </c>
      <c r="K37" s="64">
        <f t="shared" si="3"/>
        <v>0.593750000000012</v>
      </c>
    </row>
    <row r="38" spans="1:11">
      <c r="A38" s="57"/>
      <c r="B38" s="57"/>
      <c r="C38" s="58"/>
      <c r="D38" s="58"/>
      <c r="E38" s="58"/>
      <c r="F38" s="58"/>
      <c r="G38" s="58"/>
      <c r="H38" s="58"/>
      <c r="I38" s="68"/>
      <c r="J38" s="68"/>
      <c r="K38" s="57"/>
    </row>
    <row r="39" spans="1:11">
      <c r="A39" s="59" t="s">
        <v>21</v>
      </c>
      <c r="B39" s="59"/>
      <c r="C39" s="58">
        <f>J37</f>
        <v>7.76041666666667</v>
      </c>
      <c r="D39" s="58"/>
      <c r="E39" s="58"/>
      <c r="F39" s="58"/>
      <c r="G39" s="58"/>
      <c r="H39" s="58"/>
      <c r="I39" s="68"/>
      <c r="J39" s="68"/>
      <c r="K39" s="57"/>
    </row>
    <row r="40" spans="1:11">
      <c r="A40" s="59" t="s">
        <v>22</v>
      </c>
      <c r="B40" s="59"/>
      <c r="C40" s="58">
        <f>I37</f>
        <v>7.16666666666666</v>
      </c>
      <c r="D40" s="60"/>
      <c r="E40" s="60"/>
      <c r="F40" s="60"/>
      <c r="G40" s="60"/>
      <c r="H40" s="60"/>
      <c r="I40" s="57"/>
      <c r="J40" s="57"/>
      <c r="K40" s="57"/>
    </row>
    <row r="41" spans="1:11">
      <c r="A41" s="61"/>
      <c r="B41" s="61"/>
      <c r="C41" s="60"/>
      <c r="D41" s="60"/>
      <c r="E41" s="60"/>
      <c r="F41" s="60"/>
      <c r="G41" s="60"/>
      <c r="H41" s="60"/>
      <c r="I41" s="57"/>
      <c r="J41" s="57"/>
      <c r="K41" s="57"/>
    </row>
    <row r="42" spans="1:11">
      <c r="A42" s="57"/>
      <c r="B42" s="57" t="s">
        <v>13</v>
      </c>
      <c r="C42" s="58">
        <f>C39-C40</f>
        <v>0.593750000000012</v>
      </c>
      <c r="D42" s="60"/>
      <c r="E42" s="60"/>
      <c r="F42" s="60"/>
      <c r="G42" s="60"/>
      <c r="H42" s="60"/>
      <c r="I42" s="57"/>
      <c r="J42" s="57"/>
      <c r="K42" s="57"/>
    </row>
    <row r="43" spans="1:11">
      <c r="A43" s="57"/>
      <c r="B43" s="57"/>
      <c r="C43" s="60"/>
      <c r="D43" s="60"/>
      <c r="E43" s="60"/>
      <c r="F43" s="60"/>
      <c r="G43" s="60"/>
      <c r="H43" s="60"/>
      <c r="I43" s="57"/>
      <c r="J43" s="57"/>
      <c r="K43" s="57"/>
    </row>
    <row r="44" spans="1:11">
      <c r="A44" s="62" t="s">
        <v>34</v>
      </c>
      <c r="B44" s="62"/>
      <c r="C44" s="62"/>
      <c r="D44" s="62"/>
      <c r="E44" s="62"/>
      <c r="F44" s="62"/>
      <c r="G44" s="62"/>
      <c r="H44" s="62"/>
      <c r="I44" s="62"/>
      <c r="J44" s="62"/>
      <c r="K44" s="57"/>
    </row>
  </sheetData>
  <mergeCells count="10">
    <mergeCell ref="A1:K1"/>
    <mergeCell ref="A2:B2"/>
    <mergeCell ref="C2:K2"/>
    <mergeCell ref="A3:B3"/>
    <mergeCell ref="C3:K3"/>
    <mergeCell ref="C4:E4"/>
    <mergeCell ref="F4:H4"/>
    <mergeCell ref="A39:B39"/>
    <mergeCell ref="A40:B40"/>
    <mergeCell ref="A44:J44"/>
  </mergeCells>
  <pageMargins left="0.511805555555555" right="0.511805555555555" top="0.7875" bottom="0.7875" header="0.511805555555555" footer="0.511805555555555"/>
  <pageSetup paperSize="9" firstPageNumber="0" orientation="portrait" useFirstPageNumber="1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"/>
  <sheetViews>
    <sheetView workbookViewId="0">
      <selection activeCell="A8" sqref="A8"/>
    </sheetView>
  </sheetViews>
  <sheetFormatPr defaultColWidth="9.01904761904762" defaultRowHeight="15"/>
  <cols>
    <col min="1" max="1" width="2.99047619047619" customWidth="1"/>
    <col min="2" max="2" width="13.2857142857143" customWidth="1"/>
  </cols>
  <sheetData>
    <row r="1" spans="1:11">
      <c r="A1" s="71" t="s">
        <v>27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spans="1:11">
      <c r="A2" s="72" t="s">
        <v>1</v>
      </c>
      <c r="B2" s="72"/>
      <c r="C2" s="72" t="s">
        <v>32</v>
      </c>
      <c r="D2" s="72"/>
      <c r="E2" s="72"/>
      <c r="F2" s="72"/>
      <c r="G2" s="72"/>
      <c r="H2" s="72"/>
      <c r="I2" s="72"/>
      <c r="J2" s="72"/>
      <c r="K2" s="72"/>
    </row>
    <row r="3" spans="1:11">
      <c r="A3" s="72" t="s">
        <v>3</v>
      </c>
      <c r="B3" s="72"/>
      <c r="C3" s="73" t="s">
        <v>35</v>
      </c>
      <c r="D3" s="73"/>
      <c r="E3" s="73"/>
      <c r="F3" s="73"/>
      <c r="G3" s="73"/>
      <c r="H3" s="73"/>
      <c r="I3" s="73"/>
      <c r="J3" s="73"/>
      <c r="K3" s="73"/>
    </row>
    <row r="4" spans="1:11">
      <c r="A4" s="74"/>
      <c r="B4" s="74"/>
      <c r="C4" s="75" t="s">
        <v>5</v>
      </c>
      <c r="D4" s="75"/>
      <c r="E4" s="75"/>
      <c r="F4" s="75" t="s">
        <v>6</v>
      </c>
      <c r="G4" s="75"/>
      <c r="H4" s="75"/>
      <c r="I4" s="74"/>
      <c r="J4" s="74"/>
      <c r="K4" s="76"/>
    </row>
    <row r="5" spans="1:11">
      <c r="A5" s="76"/>
      <c r="B5" s="71"/>
      <c r="C5" s="71" t="s">
        <v>7</v>
      </c>
      <c r="D5" s="71" t="s">
        <v>8</v>
      </c>
      <c r="E5" s="71" t="s">
        <v>9</v>
      </c>
      <c r="F5" s="71" t="s">
        <v>7</v>
      </c>
      <c r="G5" s="71" t="s">
        <v>10</v>
      </c>
      <c r="H5" s="71" t="s">
        <v>9</v>
      </c>
      <c r="I5" s="78" t="s">
        <v>11</v>
      </c>
      <c r="J5" s="78" t="s">
        <v>12</v>
      </c>
      <c r="K5" s="71" t="s">
        <v>13</v>
      </c>
    </row>
    <row r="6" spans="1:11">
      <c r="A6" s="48">
        <v>1</v>
      </c>
      <c r="B6" s="49" t="s">
        <v>19</v>
      </c>
      <c r="C6" s="50"/>
      <c r="D6" s="50"/>
      <c r="E6" s="50">
        <f t="shared" ref="E6:E35" si="0">D6-C6</f>
        <v>0</v>
      </c>
      <c r="F6" s="50"/>
      <c r="G6" s="50"/>
      <c r="H6" s="50">
        <f t="shared" ref="H6:H35" si="1">G6-F6</f>
        <v>0</v>
      </c>
      <c r="I6" s="64">
        <v>0.333333333333333</v>
      </c>
      <c r="J6" s="64">
        <f t="shared" ref="J6:J35" si="2">E6+H6</f>
        <v>0</v>
      </c>
      <c r="K6" s="64">
        <f t="shared" ref="K6:K35" si="3">J6-I6</f>
        <v>-0.333333333333333</v>
      </c>
    </row>
    <row r="7" spans="1:11">
      <c r="A7" s="48">
        <v>2</v>
      </c>
      <c r="B7" s="49" t="s">
        <v>20</v>
      </c>
      <c r="C7" s="50"/>
      <c r="D7" s="50"/>
      <c r="E7" s="50">
        <f t="shared" si="0"/>
        <v>0</v>
      </c>
      <c r="F7" s="50"/>
      <c r="G7" s="50"/>
      <c r="H7" s="50">
        <f t="shared" si="1"/>
        <v>0</v>
      </c>
      <c r="I7" s="64">
        <v>0.333333333333333</v>
      </c>
      <c r="J7" s="64">
        <f t="shared" si="2"/>
        <v>0</v>
      </c>
      <c r="K7" s="64">
        <f t="shared" si="3"/>
        <v>-0.333333333333333</v>
      </c>
    </row>
    <row r="8" spans="1:11">
      <c r="A8" s="48">
        <v>3</v>
      </c>
      <c r="B8" s="49" t="s">
        <v>14</v>
      </c>
      <c r="C8" s="50"/>
      <c r="D8" s="50"/>
      <c r="E8" s="50">
        <f t="shared" si="0"/>
        <v>0</v>
      </c>
      <c r="F8" s="90"/>
      <c r="G8" s="90"/>
      <c r="H8" s="90">
        <f t="shared" si="1"/>
        <v>0</v>
      </c>
      <c r="I8" s="91">
        <v>0.166666666666667</v>
      </c>
      <c r="J8" s="91">
        <f t="shared" si="2"/>
        <v>0</v>
      </c>
      <c r="K8" s="91">
        <f t="shared" si="3"/>
        <v>-0.166666666666667</v>
      </c>
    </row>
    <row r="9" spans="1:11">
      <c r="A9" s="88">
        <v>4</v>
      </c>
      <c r="B9" s="49" t="s">
        <v>15</v>
      </c>
      <c r="C9" s="90"/>
      <c r="D9" s="90"/>
      <c r="E9" s="90">
        <f t="shared" si="0"/>
        <v>0</v>
      </c>
      <c r="F9" s="90"/>
      <c r="G9" s="90"/>
      <c r="H9" s="90">
        <f t="shared" si="1"/>
        <v>0</v>
      </c>
      <c r="I9" s="91">
        <v>0</v>
      </c>
      <c r="J9" s="91">
        <f t="shared" si="2"/>
        <v>0</v>
      </c>
      <c r="K9" s="91">
        <f t="shared" si="3"/>
        <v>0</v>
      </c>
    </row>
    <row r="10" spans="1:11">
      <c r="A10" s="48">
        <v>5</v>
      </c>
      <c r="B10" s="49" t="s">
        <v>16</v>
      </c>
      <c r="C10" s="50"/>
      <c r="D10" s="50"/>
      <c r="E10" s="50">
        <f t="shared" si="0"/>
        <v>0</v>
      </c>
      <c r="F10" s="50"/>
      <c r="G10" s="50"/>
      <c r="H10" s="50">
        <f t="shared" si="1"/>
        <v>0</v>
      </c>
      <c r="I10" s="66">
        <v>0.333333333333333</v>
      </c>
      <c r="J10" s="64">
        <f t="shared" si="2"/>
        <v>0</v>
      </c>
      <c r="K10" s="64">
        <f t="shared" si="3"/>
        <v>-0.333333333333333</v>
      </c>
    </row>
    <row r="11" spans="1:11">
      <c r="A11" s="48">
        <v>6</v>
      </c>
      <c r="B11" s="49" t="s">
        <v>17</v>
      </c>
      <c r="C11" s="50"/>
      <c r="D11" s="50"/>
      <c r="E11" s="50">
        <f t="shared" si="0"/>
        <v>0</v>
      </c>
      <c r="F11" s="50"/>
      <c r="G11" s="50"/>
      <c r="H11" s="50">
        <f t="shared" si="1"/>
        <v>0</v>
      </c>
      <c r="I11" s="64">
        <v>0.333333333333333</v>
      </c>
      <c r="J11" s="64">
        <f t="shared" si="2"/>
        <v>0</v>
      </c>
      <c r="K11" s="64">
        <f t="shared" si="3"/>
        <v>-0.333333333333333</v>
      </c>
    </row>
    <row r="12" spans="1:11">
      <c r="A12" s="48">
        <v>7</v>
      </c>
      <c r="B12" s="49" t="s">
        <v>18</v>
      </c>
      <c r="C12" s="50"/>
      <c r="D12" s="50"/>
      <c r="E12" s="50">
        <f t="shared" si="0"/>
        <v>0</v>
      </c>
      <c r="F12" s="50"/>
      <c r="G12" s="50"/>
      <c r="H12" s="50">
        <f t="shared" si="1"/>
        <v>0</v>
      </c>
      <c r="I12" s="64">
        <v>0.333333333333333</v>
      </c>
      <c r="J12" s="64">
        <f t="shared" si="2"/>
        <v>0</v>
      </c>
      <c r="K12" s="64">
        <f t="shared" si="3"/>
        <v>-0.333333333333333</v>
      </c>
    </row>
    <row r="13" spans="1:11">
      <c r="A13" s="88">
        <v>8</v>
      </c>
      <c r="B13" s="49" t="s">
        <v>19</v>
      </c>
      <c r="C13" s="90"/>
      <c r="D13" s="90"/>
      <c r="E13" s="90">
        <f t="shared" si="0"/>
        <v>0</v>
      </c>
      <c r="F13" s="90"/>
      <c r="G13" s="90"/>
      <c r="H13" s="90">
        <f t="shared" si="1"/>
        <v>0</v>
      </c>
      <c r="I13" s="91">
        <v>0</v>
      </c>
      <c r="J13" s="91">
        <f t="shared" si="2"/>
        <v>0</v>
      </c>
      <c r="K13" s="91">
        <f t="shared" si="3"/>
        <v>0</v>
      </c>
    </row>
    <row r="14" spans="1:11">
      <c r="A14" s="48">
        <v>9</v>
      </c>
      <c r="B14" s="49" t="s">
        <v>20</v>
      </c>
      <c r="C14" s="50"/>
      <c r="D14" s="50"/>
      <c r="E14" s="50">
        <f t="shared" si="0"/>
        <v>0</v>
      </c>
      <c r="F14" s="50"/>
      <c r="G14" s="50"/>
      <c r="H14" s="50">
        <f t="shared" si="1"/>
        <v>0</v>
      </c>
      <c r="I14" s="64">
        <v>0.333333333333333</v>
      </c>
      <c r="J14" s="64">
        <f t="shared" si="2"/>
        <v>0</v>
      </c>
      <c r="K14" s="64">
        <f t="shared" si="3"/>
        <v>-0.333333333333333</v>
      </c>
    </row>
    <row r="15" spans="1:11">
      <c r="A15" s="48">
        <v>10</v>
      </c>
      <c r="B15" s="49" t="s">
        <v>14</v>
      </c>
      <c r="C15" s="50"/>
      <c r="D15" s="50"/>
      <c r="E15" s="50">
        <f t="shared" si="0"/>
        <v>0</v>
      </c>
      <c r="F15" s="90"/>
      <c r="G15" s="90"/>
      <c r="H15" s="90">
        <f t="shared" si="1"/>
        <v>0</v>
      </c>
      <c r="I15" s="91">
        <v>0.166666666666667</v>
      </c>
      <c r="J15" s="91">
        <f t="shared" si="2"/>
        <v>0</v>
      </c>
      <c r="K15" s="91">
        <f t="shared" si="3"/>
        <v>-0.166666666666667</v>
      </c>
    </row>
    <row r="16" spans="1:11">
      <c r="A16" s="88">
        <v>11</v>
      </c>
      <c r="B16" s="49" t="s">
        <v>15</v>
      </c>
      <c r="C16" s="90"/>
      <c r="D16" s="90"/>
      <c r="E16" s="90">
        <f t="shared" si="0"/>
        <v>0</v>
      </c>
      <c r="F16" s="90"/>
      <c r="G16" s="90"/>
      <c r="H16" s="90">
        <f t="shared" si="1"/>
        <v>0</v>
      </c>
      <c r="I16" s="91">
        <v>0</v>
      </c>
      <c r="J16" s="91">
        <f t="shared" si="2"/>
        <v>0</v>
      </c>
      <c r="K16" s="91">
        <f t="shared" si="3"/>
        <v>0</v>
      </c>
    </row>
    <row r="17" spans="1:11">
      <c r="A17" s="48">
        <v>12</v>
      </c>
      <c r="B17" s="49" t="s">
        <v>16</v>
      </c>
      <c r="C17" s="50"/>
      <c r="D17" s="50"/>
      <c r="E17" s="50">
        <f t="shared" si="0"/>
        <v>0</v>
      </c>
      <c r="F17" s="50"/>
      <c r="G17" s="50"/>
      <c r="H17" s="50">
        <f t="shared" si="1"/>
        <v>0</v>
      </c>
      <c r="I17" s="66">
        <v>0.333333333333333</v>
      </c>
      <c r="J17" s="64">
        <f t="shared" si="2"/>
        <v>0</v>
      </c>
      <c r="K17" s="64">
        <f t="shared" si="3"/>
        <v>-0.333333333333333</v>
      </c>
    </row>
    <row r="18" spans="1:11">
      <c r="A18" s="48">
        <v>13</v>
      </c>
      <c r="B18" s="49" t="s">
        <v>17</v>
      </c>
      <c r="C18" s="50"/>
      <c r="D18" s="50"/>
      <c r="E18" s="50">
        <f t="shared" si="0"/>
        <v>0</v>
      </c>
      <c r="F18" s="50"/>
      <c r="G18" s="50"/>
      <c r="H18" s="50">
        <f t="shared" si="1"/>
        <v>0</v>
      </c>
      <c r="I18" s="64">
        <v>0.333333333333333</v>
      </c>
      <c r="J18" s="64">
        <f t="shared" si="2"/>
        <v>0</v>
      </c>
      <c r="K18" s="64">
        <f t="shared" si="3"/>
        <v>-0.333333333333333</v>
      </c>
    </row>
    <row r="19" spans="1:11">
      <c r="A19" s="48">
        <v>14</v>
      </c>
      <c r="B19" s="49" t="s">
        <v>18</v>
      </c>
      <c r="C19" s="50"/>
      <c r="D19" s="50"/>
      <c r="E19" s="50">
        <f t="shared" si="0"/>
        <v>0</v>
      </c>
      <c r="F19" s="50"/>
      <c r="G19" s="50"/>
      <c r="H19" s="50">
        <f t="shared" si="1"/>
        <v>0</v>
      </c>
      <c r="I19" s="64">
        <v>0.333333333333333</v>
      </c>
      <c r="J19" s="64">
        <f t="shared" si="2"/>
        <v>0</v>
      </c>
      <c r="K19" s="64">
        <f t="shared" si="3"/>
        <v>-0.333333333333333</v>
      </c>
    </row>
    <row r="20" spans="1:11">
      <c r="A20" s="48">
        <v>15</v>
      </c>
      <c r="B20" s="49" t="s">
        <v>19</v>
      </c>
      <c r="C20" s="50"/>
      <c r="D20" s="50"/>
      <c r="E20" s="50">
        <f t="shared" si="0"/>
        <v>0</v>
      </c>
      <c r="F20" s="50"/>
      <c r="G20" s="50"/>
      <c r="H20" s="50">
        <f t="shared" si="1"/>
        <v>0</v>
      </c>
      <c r="I20" s="64">
        <v>0.333333333333333</v>
      </c>
      <c r="J20" s="64">
        <f t="shared" si="2"/>
        <v>0</v>
      </c>
      <c r="K20" s="64">
        <f t="shared" si="3"/>
        <v>-0.333333333333333</v>
      </c>
    </row>
    <row r="21" spans="1:11">
      <c r="A21" s="48">
        <v>16</v>
      </c>
      <c r="B21" s="49" t="s">
        <v>20</v>
      </c>
      <c r="C21" s="50"/>
      <c r="D21" s="50"/>
      <c r="E21" s="50">
        <f t="shared" si="0"/>
        <v>0</v>
      </c>
      <c r="F21" s="50"/>
      <c r="G21" s="50"/>
      <c r="H21" s="50">
        <f t="shared" si="1"/>
        <v>0</v>
      </c>
      <c r="I21" s="64">
        <v>0.333333333333333</v>
      </c>
      <c r="J21" s="64">
        <f t="shared" si="2"/>
        <v>0</v>
      </c>
      <c r="K21" s="64">
        <f t="shared" si="3"/>
        <v>-0.333333333333333</v>
      </c>
    </row>
    <row r="22" spans="1:11">
      <c r="A22" s="48">
        <v>17</v>
      </c>
      <c r="B22" s="49" t="s">
        <v>14</v>
      </c>
      <c r="C22" s="50"/>
      <c r="D22" s="50"/>
      <c r="E22" s="50">
        <f t="shared" si="0"/>
        <v>0</v>
      </c>
      <c r="F22" s="90"/>
      <c r="G22" s="90"/>
      <c r="H22" s="90">
        <f t="shared" si="1"/>
        <v>0</v>
      </c>
      <c r="I22" s="91">
        <v>0.166666666666667</v>
      </c>
      <c r="J22" s="91">
        <f t="shared" si="2"/>
        <v>0</v>
      </c>
      <c r="K22" s="91">
        <f t="shared" si="3"/>
        <v>-0.166666666666667</v>
      </c>
    </row>
    <row r="23" spans="1:11">
      <c r="A23" s="88">
        <v>18</v>
      </c>
      <c r="B23" s="49" t="s">
        <v>15</v>
      </c>
      <c r="C23" s="90"/>
      <c r="D23" s="90"/>
      <c r="E23" s="90">
        <f t="shared" si="0"/>
        <v>0</v>
      </c>
      <c r="F23" s="90"/>
      <c r="G23" s="90"/>
      <c r="H23" s="90">
        <f t="shared" si="1"/>
        <v>0</v>
      </c>
      <c r="I23" s="91">
        <v>0</v>
      </c>
      <c r="J23" s="91">
        <f t="shared" si="2"/>
        <v>0</v>
      </c>
      <c r="K23" s="91">
        <f t="shared" si="3"/>
        <v>0</v>
      </c>
    </row>
    <row r="24" spans="1:11">
      <c r="A24" s="48">
        <v>19</v>
      </c>
      <c r="B24" s="49" t="s">
        <v>16</v>
      </c>
      <c r="C24" s="50"/>
      <c r="D24" s="50"/>
      <c r="E24" s="50">
        <f t="shared" si="0"/>
        <v>0</v>
      </c>
      <c r="F24" s="50"/>
      <c r="G24" s="50"/>
      <c r="H24" s="50">
        <f t="shared" si="1"/>
        <v>0</v>
      </c>
      <c r="I24" s="66">
        <v>0.333333333333333</v>
      </c>
      <c r="J24" s="64">
        <f t="shared" si="2"/>
        <v>0</v>
      </c>
      <c r="K24" s="64">
        <f t="shared" si="3"/>
        <v>-0.333333333333333</v>
      </c>
    </row>
    <row r="25" spans="1:11">
      <c r="A25" s="48">
        <v>20</v>
      </c>
      <c r="B25" s="49" t="s">
        <v>17</v>
      </c>
      <c r="C25" s="50"/>
      <c r="D25" s="50"/>
      <c r="E25" s="50">
        <f t="shared" si="0"/>
        <v>0</v>
      </c>
      <c r="F25" s="50"/>
      <c r="G25" s="50"/>
      <c r="H25" s="50">
        <f t="shared" si="1"/>
        <v>0</v>
      </c>
      <c r="I25" s="64">
        <v>0.333333333333333</v>
      </c>
      <c r="J25" s="64">
        <f t="shared" si="2"/>
        <v>0</v>
      </c>
      <c r="K25" s="64">
        <f t="shared" si="3"/>
        <v>-0.333333333333333</v>
      </c>
    </row>
    <row r="26" spans="1:11">
      <c r="A26" s="48">
        <v>21</v>
      </c>
      <c r="B26" s="49" t="s">
        <v>18</v>
      </c>
      <c r="C26" s="50"/>
      <c r="D26" s="50"/>
      <c r="E26" s="50">
        <f t="shared" si="0"/>
        <v>0</v>
      </c>
      <c r="F26" s="50"/>
      <c r="G26" s="50"/>
      <c r="H26" s="50">
        <f t="shared" si="1"/>
        <v>0</v>
      </c>
      <c r="I26" s="64">
        <v>0.333333333333333</v>
      </c>
      <c r="J26" s="64">
        <f t="shared" si="2"/>
        <v>0</v>
      </c>
      <c r="K26" s="64">
        <f t="shared" si="3"/>
        <v>-0.333333333333333</v>
      </c>
    </row>
    <row r="27" spans="1:11">
      <c r="A27" s="48">
        <v>22</v>
      </c>
      <c r="B27" s="49" t="s">
        <v>19</v>
      </c>
      <c r="C27" s="50"/>
      <c r="D27" s="50"/>
      <c r="E27" s="50">
        <f t="shared" si="0"/>
        <v>0</v>
      </c>
      <c r="F27" s="50"/>
      <c r="G27" s="50"/>
      <c r="H27" s="50">
        <f t="shared" si="1"/>
        <v>0</v>
      </c>
      <c r="I27" s="64">
        <v>0.333333333333333</v>
      </c>
      <c r="J27" s="64">
        <f t="shared" si="2"/>
        <v>0</v>
      </c>
      <c r="K27" s="64">
        <f t="shared" si="3"/>
        <v>-0.333333333333333</v>
      </c>
    </row>
    <row r="28" spans="1:11">
      <c r="A28" s="48">
        <v>23</v>
      </c>
      <c r="B28" s="49" t="s">
        <v>20</v>
      </c>
      <c r="C28" s="50"/>
      <c r="D28" s="50"/>
      <c r="E28" s="50">
        <f t="shared" si="0"/>
        <v>0</v>
      </c>
      <c r="F28" s="50"/>
      <c r="G28" s="50"/>
      <c r="H28" s="50">
        <f t="shared" si="1"/>
        <v>0</v>
      </c>
      <c r="I28" s="64">
        <v>0.333333333333333</v>
      </c>
      <c r="J28" s="64">
        <f t="shared" si="2"/>
        <v>0</v>
      </c>
      <c r="K28" s="64">
        <f t="shared" si="3"/>
        <v>-0.333333333333333</v>
      </c>
    </row>
    <row r="29" spans="1:11">
      <c r="A29" s="88">
        <v>24</v>
      </c>
      <c r="B29" s="49" t="s">
        <v>14</v>
      </c>
      <c r="C29" s="90"/>
      <c r="D29" s="90"/>
      <c r="E29" s="90">
        <f t="shared" si="0"/>
        <v>0</v>
      </c>
      <c r="F29" s="90"/>
      <c r="G29" s="90"/>
      <c r="H29" s="90">
        <f t="shared" si="1"/>
        <v>0</v>
      </c>
      <c r="I29" s="91">
        <v>0.166666666666667</v>
      </c>
      <c r="J29" s="91">
        <f t="shared" si="2"/>
        <v>0</v>
      </c>
      <c r="K29" s="91">
        <f t="shared" si="3"/>
        <v>-0.166666666666667</v>
      </c>
    </row>
    <row r="30" spans="1:11">
      <c r="A30" s="88">
        <v>25</v>
      </c>
      <c r="B30" s="49" t="s">
        <v>15</v>
      </c>
      <c r="C30" s="90"/>
      <c r="D30" s="90"/>
      <c r="E30" s="90">
        <f t="shared" si="0"/>
        <v>0</v>
      </c>
      <c r="F30" s="90"/>
      <c r="G30" s="90"/>
      <c r="H30" s="90">
        <f t="shared" si="1"/>
        <v>0</v>
      </c>
      <c r="I30" s="91">
        <v>0</v>
      </c>
      <c r="J30" s="91">
        <f t="shared" si="2"/>
        <v>0</v>
      </c>
      <c r="K30" s="91">
        <f t="shared" si="3"/>
        <v>0</v>
      </c>
    </row>
    <row r="31" spans="1:11">
      <c r="A31" s="48">
        <v>26</v>
      </c>
      <c r="B31" s="49" t="s">
        <v>16</v>
      </c>
      <c r="C31" s="50"/>
      <c r="D31" s="50"/>
      <c r="E31" s="50">
        <f t="shared" si="0"/>
        <v>0</v>
      </c>
      <c r="F31" s="50"/>
      <c r="G31" s="50"/>
      <c r="H31" s="50">
        <f t="shared" si="1"/>
        <v>0</v>
      </c>
      <c r="I31" s="66">
        <v>0.333333333333333</v>
      </c>
      <c r="J31" s="64">
        <f t="shared" si="2"/>
        <v>0</v>
      </c>
      <c r="K31" s="64">
        <f t="shared" si="3"/>
        <v>-0.333333333333333</v>
      </c>
    </row>
    <row r="32" spans="1:11">
      <c r="A32" s="48">
        <v>27</v>
      </c>
      <c r="B32" s="49" t="s">
        <v>17</v>
      </c>
      <c r="C32" s="50"/>
      <c r="D32" s="50"/>
      <c r="E32" s="50">
        <f t="shared" si="0"/>
        <v>0</v>
      </c>
      <c r="F32" s="50"/>
      <c r="G32" s="50"/>
      <c r="H32" s="50">
        <f t="shared" si="1"/>
        <v>0</v>
      </c>
      <c r="I32" s="64">
        <v>0.333333333333333</v>
      </c>
      <c r="J32" s="64">
        <f t="shared" si="2"/>
        <v>0</v>
      </c>
      <c r="K32" s="64">
        <f t="shared" si="3"/>
        <v>-0.333333333333333</v>
      </c>
    </row>
    <row r="33" spans="1:11">
      <c r="A33" s="48">
        <v>28</v>
      </c>
      <c r="B33" s="49" t="s">
        <v>18</v>
      </c>
      <c r="C33" s="50"/>
      <c r="D33" s="50"/>
      <c r="E33" s="50">
        <f t="shared" si="0"/>
        <v>0</v>
      </c>
      <c r="F33" s="50"/>
      <c r="G33" s="50"/>
      <c r="H33" s="50">
        <f t="shared" si="1"/>
        <v>0</v>
      </c>
      <c r="I33" s="64">
        <v>0.333333333333333</v>
      </c>
      <c r="J33" s="64">
        <f t="shared" si="2"/>
        <v>0</v>
      </c>
      <c r="K33" s="64">
        <f t="shared" si="3"/>
        <v>-0.333333333333333</v>
      </c>
    </row>
    <row r="34" spans="1:11">
      <c r="A34" s="48">
        <v>29</v>
      </c>
      <c r="B34" s="49" t="s">
        <v>19</v>
      </c>
      <c r="C34" s="50"/>
      <c r="D34" s="50"/>
      <c r="E34" s="50">
        <f t="shared" si="0"/>
        <v>0</v>
      </c>
      <c r="F34" s="50"/>
      <c r="G34" s="50"/>
      <c r="H34" s="50">
        <f t="shared" si="1"/>
        <v>0</v>
      </c>
      <c r="I34" s="64">
        <v>0.333333333333333</v>
      </c>
      <c r="J34" s="64">
        <f t="shared" si="2"/>
        <v>0</v>
      </c>
      <c r="K34" s="64">
        <f t="shared" si="3"/>
        <v>-0.333333333333333</v>
      </c>
    </row>
    <row r="35" spans="1:11">
      <c r="A35" s="48">
        <v>30</v>
      </c>
      <c r="B35" s="49" t="s">
        <v>20</v>
      </c>
      <c r="C35" s="50"/>
      <c r="D35" s="50"/>
      <c r="E35" s="50">
        <f t="shared" si="0"/>
        <v>0</v>
      </c>
      <c r="F35" s="50"/>
      <c r="G35" s="50"/>
      <c r="H35" s="50">
        <f t="shared" si="1"/>
        <v>0</v>
      </c>
      <c r="I35" s="64">
        <v>0.333333333333333</v>
      </c>
      <c r="J35" s="64">
        <f t="shared" si="2"/>
        <v>0</v>
      </c>
      <c r="K35" s="64">
        <f t="shared" si="3"/>
        <v>-0.333333333333333</v>
      </c>
    </row>
    <row r="36" spans="1:11">
      <c r="A36" s="88"/>
      <c r="B36" s="49"/>
      <c r="C36" s="90"/>
      <c r="D36" s="90"/>
      <c r="E36" s="90"/>
      <c r="F36" s="90"/>
      <c r="G36" s="90"/>
      <c r="H36" s="90"/>
      <c r="I36" s="91"/>
      <c r="J36" s="91"/>
      <c r="K36" s="91"/>
    </row>
    <row r="37" spans="1:11">
      <c r="A37" s="48"/>
      <c r="B37" s="48"/>
      <c r="C37" s="50"/>
      <c r="D37" s="50"/>
      <c r="E37" s="50"/>
      <c r="F37" s="50"/>
      <c r="G37" s="50"/>
      <c r="H37" s="50"/>
      <c r="I37" s="64">
        <f>SUM(I6:I36)</f>
        <v>7.66666666666666</v>
      </c>
      <c r="J37" s="64">
        <f>SUM(J6:J36)</f>
        <v>0</v>
      </c>
      <c r="K37" s="64">
        <f>J37-I37</f>
        <v>-7.66666666666666</v>
      </c>
    </row>
    <row r="38" spans="1:11">
      <c r="A38" s="57"/>
      <c r="B38" s="57"/>
      <c r="C38" s="58"/>
      <c r="D38" s="58"/>
      <c r="E38" s="58"/>
      <c r="F38" s="58"/>
      <c r="G38" s="58"/>
      <c r="H38" s="58"/>
      <c r="I38" s="68"/>
      <c r="J38" s="68"/>
      <c r="K38" s="57"/>
    </row>
    <row r="39" spans="1:11">
      <c r="A39" s="59" t="s">
        <v>21</v>
      </c>
      <c r="B39" s="59"/>
      <c r="C39" s="58">
        <f>J37</f>
        <v>0</v>
      </c>
      <c r="D39" s="58"/>
      <c r="E39" s="58"/>
      <c r="F39" s="58"/>
      <c r="G39" s="58"/>
      <c r="H39" s="58"/>
      <c r="I39" s="68"/>
      <c r="J39" s="68"/>
      <c r="K39" s="57"/>
    </row>
    <row r="40" spans="1:11">
      <c r="A40" s="59" t="s">
        <v>22</v>
      </c>
      <c r="B40" s="59"/>
      <c r="C40" s="58">
        <f>I37</f>
        <v>7.66666666666666</v>
      </c>
      <c r="D40" s="60"/>
      <c r="E40" s="60"/>
      <c r="F40" s="60"/>
      <c r="G40" s="60"/>
      <c r="H40" s="60"/>
      <c r="I40" s="57"/>
      <c r="J40" s="57"/>
      <c r="K40" s="57"/>
    </row>
    <row r="41" spans="1:11">
      <c r="A41" s="61"/>
      <c r="B41" s="61"/>
      <c r="C41" s="60"/>
      <c r="D41" s="60"/>
      <c r="E41" s="60"/>
      <c r="F41" s="60"/>
      <c r="G41" s="60"/>
      <c r="H41" s="60"/>
      <c r="I41" s="57"/>
      <c r="J41" s="57"/>
      <c r="K41" s="57"/>
    </row>
    <row r="42" spans="1:11">
      <c r="A42" s="57"/>
      <c r="B42" s="57" t="s">
        <v>13</v>
      </c>
      <c r="C42" s="58">
        <f>C39-C40</f>
        <v>-7.66666666666666</v>
      </c>
      <c r="D42" s="60"/>
      <c r="E42" s="60"/>
      <c r="F42" s="60"/>
      <c r="G42" s="60"/>
      <c r="H42" s="60"/>
      <c r="I42" s="57"/>
      <c r="J42" s="57"/>
      <c r="K42" s="57"/>
    </row>
    <row r="43" spans="1:11">
      <c r="A43" s="57"/>
      <c r="B43" s="57"/>
      <c r="C43" s="60"/>
      <c r="D43" s="60"/>
      <c r="E43" s="60"/>
      <c r="F43" s="60"/>
      <c r="G43" s="60"/>
      <c r="H43" s="60"/>
      <c r="I43" s="57"/>
      <c r="J43" s="57"/>
      <c r="K43" s="57"/>
    </row>
    <row r="44" spans="1:11">
      <c r="A44" s="62" t="s">
        <v>36</v>
      </c>
      <c r="B44" s="62"/>
      <c r="C44" s="62"/>
      <c r="D44" s="62"/>
      <c r="E44" s="62"/>
      <c r="F44" s="62"/>
      <c r="G44" s="62"/>
      <c r="H44" s="62"/>
      <c r="I44" s="62"/>
      <c r="J44" s="62"/>
      <c r="K44" s="57"/>
    </row>
  </sheetData>
  <mergeCells count="10">
    <mergeCell ref="A1:K1"/>
    <mergeCell ref="A2:B2"/>
    <mergeCell ref="C2:K2"/>
    <mergeCell ref="A3:B3"/>
    <mergeCell ref="C3:K3"/>
    <mergeCell ref="C4:E4"/>
    <mergeCell ref="F4:H4"/>
    <mergeCell ref="A39:B39"/>
    <mergeCell ref="A40:B40"/>
    <mergeCell ref="A44:J44"/>
  </mergeCells>
  <pageMargins left="0.511805555555555" right="0.511805555555555" top="0.7875" bottom="0.7875" header="0.511805555555555" footer="0.511805555555555"/>
  <pageSetup paperSize="9" firstPageNumber="0" orientation="portrait" useFirstPageNumber="1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6"/>
  <sheetViews>
    <sheetView workbookViewId="0">
      <selection activeCell="A1" sqref="A1:K1"/>
    </sheetView>
  </sheetViews>
  <sheetFormatPr defaultColWidth="9.01904761904762" defaultRowHeight="15"/>
  <cols>
    <col min="1" max="1" width="3.14285714285714" customWidth="1"/>
    <col min="2" max="2" width="13.2857142857143" customWidth="1"/>
    <col min="3" max="3" width="10.847619047619" customWidth="1"/>
    <col min="5" max="5" width="9.28571428571429" customWidth="1"/>
    <col min="8" max="10" width="9.28571428571429" customWidth="1"/>
    <col min="11" max="11" width="9.41904761904762" customWidth="1"/>
  </cols>
  <sheetData>
    <row r="1" spans="1:11">
      <c r="A1" s="71" t="s">
        <v>27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spans="1:11">
      <c r="A2" s="72" t="s">
        <v>1</v>
      </c>
      <c r="B2" s="72"/>
      <c r="C2" s="72" t="s">
        <v>28</v>
      </c>
      <c r="D2" s="72"/>
      <c r="E2" s="72"/>
      <c r="F2" s="72"/>
      <c r="G2" s="72"/>
      <c r="H2" s="72"/>
      <c r="I2" s="72"/>
      <c r="J2" s="72"/>
      <c r="K2" s="72"/>
    </row>
    <row r="3" spans="1:11">
      <c r="A3" s="72" t="s">
        <v>3</v>
      </c>
      <c r="B3" s="72"/>
      <c r="C3" s="73" t="s">
        <v>37</v>
      </c>
      <c r="D3" s="73"/>
      <c r="E3" s="73"/>
      <c r="F3" s="73"/>
      <c r="G3" s="73"/>
      <c r="H3" s="73"/>
      <c r="I3" s="73"/>
      <c r="J3" s="73"/>
      <c r="K3" s="73"/>
    </row>
    <row r="4" spans="1:11">
      <c r="A4" s="74"/>
      <c r="B4" s="74"/>
      <c r="C4" s="75" t="s">
        <v>5</v>
      </c>
      <c r="D4" s="75"/>
      <c r="E4" s="75"/>
      <c r="F4" s="75" t="s">
        <v>6</v>
      </c>
      <c r="G4" s="75"/>
      <c r="H4" s="75"/>
      <c r="I4" s="74"/>
      <c r="J4" s="74"/>
      <c r="K4" s="76"/>
    </row>
    <row r="5" spans="1:11">
      <c r="A5" s="76"/>
      <c r="B5" s="71"/>
      <c r="C5" s="71" t="s">
        <v>7</v>
      </c>
      <c r="D5" s="71" t="s">
        <v>8</v>
      </c>
      <c r="E5" s="71" t="s">
        <v>9</v>
      </c>
      <c r="F5" s="71" t="s">
        <v>7</v>
      </c>
      <c r="G5" s="71" t="s">
        <v>10</v>
      </c>
      <c r="H5" s="71" t="s">
        <v>9</v>
      </c>
      <c r="I5" s="78" t="s">
        <v>11</v>
      </c>
      <c r="J5" s="78" t="s">
        <v>12</v>
      </c>
      <c r="K5" s="71" t="s">
        <v>13</v>
      </c>
    </row>
    <row r="6" spans="1:12">
      <c r="A6" s="48">
        <v>1</v>
      </c>
      <c r="B6" s="49" t="s">
        <v>20</v>
      </c>
      <c r="C6" s="50">
        <v>0.3125</v>
      </c>
      <c r="D6" s="50">
        <v>0.5</v>
      </c>
      <c r="E6" s="50">
        <f t="shared" ref="E6:E36" si="0">D6-C6</f>
        <v>0.1875</v>
      </c>
      <c r="F6" s="50"/>
      <c r="G6" s="50"/>
      <c r="H6" s="50">
        <f t="shared" ref="H6:H36" si="1">G6-F6</f>
        <v>0</v>
      </c>
      <c r="I6" s="64">
        <v>0.166666666666667</v>
      </c>
      <c r="J6" s="64">
        <f t="shared" ref="J6:J36" si="2">E6+H6</f>
        <v>0.1875</v>
      </c>
      <c r="K6" s="64">
        <f t="shared" ref="K6:K37" si="3">J6-I6</f>
        <v>0.020833333333333</v>
      </c>
      <c r="L6" s="77"/>
    </row>
    <row r="7" spans="1:12">
      <c r="A7" s="52">
        <v>2</v>
      </c>
      <c r="B7" s="53" t="s">
        <v>14</v>
      </c>
      <c r="C7" s="51">
        <v>0</v>
      </c>
      <c r="D7" s="51">
        <v>0</v>
      </c>
      <c r="E7" s="51">
        <f t="shared" si="0"/>
        <v>0</v>
      </c>
      <c r="F7" s="51">
        <v>0</v>
      </c>
      <c r="G7" s="51">
        <v>0</v>
      </c>
      <c r="H7" s="51">
        <f t="shared" si="1"/>
        <v>0</v>
      </c>
      <c r="I7" s="65">
        <v>0</v>
      </c>
      <c r="J7" s="65">
        <f t="shared" si="2"/>
        <v>0</v>
      </c>
      <c r="K7" s="65">
        <f t="shared" si="3"/>
        <v>0</v>
      </c>
      <c r="L7" s="77"/>
    </row>
    <row r="8" spans="1:12">
      <c r="A8" s="48">
        <v>3</v>
      </c>
      <c r="B8" s="49" t="s">
        <v>15</v>
      </c>
      <c r="C8" s="50">
        <v>0.319444444444444</v>
      </c>
      <c r="D8" s="50">
        <v>0.53125</v>
      </c>
      <c r="E8" s="50">
        <f t="shared" si="0"/>
        <v>0.211805555555556</v>
      </c>
      <c r="F8" s="50">
        <v>0.55</v>
      </c>
      <c r="G8" s="50">
        <v>0.763888888888889</v>
      </c>
      <c r="H8" s="50">
        <f t="shared" si="1"/>
        <v>0.213888888888889</v>
      </c>
      <c r="I8" s="64">
        <v>0.333333333333333</v>
      </c>
      <c r="J8" s="64">
        <f t="shared" si="2"/>
        <v>0.425694444444445</v>
      </c>
      <c r="K8" s="64">
        <f t="shared" si="3"/>
        <v>0.0923611111111119</v>
      </c>
      <c r="L8" s="77"/>
    </row>
    <row r="9" spans="1:12">
      <c r="A9" s="48">
        <v>4</v>
      </c>
      <c r="B9" s="49" t="s">
        <v>16</v>
      </c>
      <c r="C9" s="50">
        <v>0.333333333333333</v>
      </c>
      <c r="D9" s="50">
        <v>0.479166666666667</v>
      </c>
      <c r="E9" s="50">
        <f t="shared" si="0"/>
        <v>0.145833333333334</v>
      </c>
      <c r="F9" s="50">
        <v>0.5625</v>
      </c>
      <c r="G9" s="50">
        <v>0.75</v>
      </c>
      <c r="H9" s="50">
        <f t="shared" si="1"/>
        <v>0.1875</v>
      </c>
      <c r="I9" s="64">
        <v>0.333333333333333</v>
      </c>
      <c r="J9" s="64">
        <f t="shared" si="2"/>
        <v>0.333333333333334</v>
      </c>
      <c r="K9" s="64">
        <f t="shared" si="3"/>
        <v>1.0547118733939e-15</v>
      </c>
      <c r="L9" s="77"/>
    </row>
    <row r="10" spans="1:12">
      <c r="A10" s="48">
        <v>5</v>
      </c>
      <c r="B10" s="49" t="s">
        <v>17</v>
      </c>
      <c r="C10" s="50">
        <v>0.333333333333333</v>
      </c>
      <c r="D10" s="50">
        <v>0.479166666666667</v>
      </c>
      <c r="E10" s="50">
        <f t="shared" si="0"/>
        <v>0.145833333333334</v>
      </c>
      <c r="F10" s="50">
        <v>0.5625</v>
      </c>
      <c r="G10" s="50">
        <v>0.75</v>
      </c>
      <c r="H10" s="50">
        <f t="shared" si="1"/>
        <v>0.1875</v>
      </c>
      <c r="I10" s="66">
        <v>0.333333333333333</v>
      </c>
      <c r="J10" s="64">
        <f t="shared" si="2"/>
        <v>0.333333333333334</v>
      </c>
      <c r="K10" s="64">
        <f t="shared" si="3"/>
        <v>1.0547118733939e-15</v>
      </c>
      <c r="L10" s="77"/>
    </row>
    <row r="11" spans="1:12">
      <c r="A11" s="48">
        <v>6</v>
      </c>
      <c r="B11" s="49" t="s">
        <v>18</v>
      </c>
      <c r="C11" s="50">
        <v>0.333333333333333</v>
      </c>
      <c r="D11" s="50">
        <v>0.493055555555556</v>
      </c>
      <c r="E11" s="50">
        <f t="shared" si="0"/>
        <v>0.159722222222223</v>
      </c>
      <c r="F11" s="50">
        <v>0.5625</v>
      </c>
      <c r="G11" s="50">
        <v>0.763888888888889</v>
      </c>
      <c r="H11" s="50">
        <f t="shared" si="1"/>
        <v>0.201388888888889</v>
      </c>
      <c r="I11" s="64">
        <v>0.333333333333333</v>
      </c>
      <c r="J11" s="64">
        <f t="shared" si="2"/>
        <v>0.361111111111112</v>
      </c>
      <c r="K11" s="64">
        <f t="shared" si="3"/>
        <v>0.027777777777779</v>
      </c>
      <c r="L11" s="77"/>
    </row>
    <row r="12" spans="1:12">
      <c r="A12" s="48">
        <v>7</v>
      </c>
      <c r="B12" s="49" t="s">
        <v>19</v>
      </c>
      <c r="C12" s="50">
        <v>0.333333333333333</v>
      </c>
      <c r="D12" s="50">
        <v>0.506944444444444</v>
      </c>
      <c r="E12" s="50">
        <f t="shared" si="0"/>
        <v>0.173611111111111</v>
      </c>
      <c r="F12" s="50">
        <v>0.576388888888889</v>
      </c>
      <c r="G12" s="50">
        <v>0.791666666666667</v>
      </c>
      <c r="H12" s="50">
        <f t="shared" si="1"/>
        <v>0.215277777777778</v>
      </c>
      <c r="I12" s="64">
        <v>0.333333333333333</v>
      </c>
      <c r="J12" s="64">
        <f t="shared" si="2"/>
        <v>0.388888888888889</v>
      </c>
      <c r="K12" s="64">
        <f t="shared" si="3"/>
        <v>0.055555555555556</v>
      </c>
      <c r="L12" s="77"/>
    </row>
    <row r="13" spans="1:12">
      <c r="A13" s="52">
        <v>8</v>
      </c>
      <c r="B13" s="53" t="s">
        <v>20</v>
      </c>
      <c r="C13" s="51"/>
      <c r="D13" s="51"/>
      <c r="E13" s="51">
        <f t="shared" si="0"/>
        <v>0</v>
      </c>
      <c r="F13" s="51"/>
      <c r="G13" s="51"/>
      <c r="H13" s="51">
        <f t="shared" si="1"/>
        <v>0</v>
      </c>
      <c r="I13" s="65">
        <v>0</v>
      </c>
      <c r="J13" s="65">
        <f t="shared" si="2"/>
        <v>0</v>
      </c>
      <c r="K13" s="65">
        <f t="shared" si="3"/>
        <v>0</v>
      </c>
      <c r="L13" s="77"/>
    </row>
    <row r="14" spans="1:12">
      <c r="A14" s="52">
        <v>9</v>
      </c>
      <c r="B14" s="53" t="s">
        <v>14</v>
      </c>
      <c r="C14" s="51">
        <v>0</v>
      </c>
      <c r="D14" s="51">
        <v>0</v>
      </c>
      <c r="E14" s="51">
        <f t="shared" si="0"/>
        <v>0</v>
      </c>
      <c r="F14" s="51">
        <v>0</v>
      </c>
      <c r="G14" s="51">
        <v>0</v>
      </c>
      <c r="H14" s="51">
        <f t="shared" si="1"/>
        <v>0</v>
      </c>
      <c r="I14" s="65">
        <v>0</v>
      </c>
      <c r="J14" s="65">
        <f t="shared" si="2"/>
        <v>0</v>
      </c>
      <c r="K14" s="65">
        <f t="shared" si="3"/>
        <v>0</v>
      </c>
      <c r="L14" s="77"/>
    </row>
    <row r="15" spans="1:12">
      <c r="A15" s="48">
        <v>10</v>
      </c>
      <c r="B15" s="49" t="s">
        <v>15</v>
      </c>
      <c r="C15" s="50">
        <v>0.333333333333333</v>
      </c>
      <c r="D15" s="50">
        <v>0.510416666666667</v>
      </c>
      <c r="E15" s="50">
        <f t="shared" si="0"/>
        <v>0.177083333333334</v>
      </c>
      <c r="F15" s="50">
        <v>0.579861111111111</v>
      </c>
      <c r="G15" s="50">
        <v>0.75</v>
      </c>
      <c r="H15" s="50">
        <f t="shared" si="1"/>
        <v>0.170138888888889</v>
      </c>
      <c r="I15" s="64">
        <v>0.333333333333333</v>
      </c>
      <c r="J15" s="64">
        <f t="shared" si="2"/>
        <v>0.347222222222223</v>
      </c>
      <c r="K15" s="64">
        <f t="shared" si="3"/>
        <v>0.0138888888888899</v>
      </c>
      <c r="L15" s="77"/>
    </row>
    <row r="16" spans="1:12">
      <c r="A16" s="48">
        <v>11</v>
      </c>
      <c r="B16" s="49" t="s">
        <v>16</v>
      </c>
      <c r="C16" s="50">
        <v>0.333333333333333</v>
      </c>
      <c r="D16" s="50">
        <v>0.513888888888889</v>
      </c>
      <c r="E16" s="50">
        <f t="shared" si="0"/>
        <v>0.180555555555556</v>
      </c>
      <c r="F16" s="50">
        <v>0.569444444444444</v>
      </c>
      <c r="G16" s="50">
        <v>0.75</v>
      </c>
      <c r="H16" s="50">
        <f t="shared" si="1"/>
        <v>0.180555555555556</v>
      </c>
      <c r="I16" s="64">
        <v>0.333333333333333</v>
      </c>
      <c r="J16" s="64">
        <f t="shared" si="2"/>
        <v>0.361111111111112</v>
      </c>
      <c r="K16" s="64">
        <f t="shared" si="3"/>
        <v>0.027777777777779</v>
      </c>
      <c r="L16" s="77"/>
    </row>
    <row r="17" spans="1:12">
      <c r="A17" s="48">
        <v>12</v>
      </c>
      <c r="B17" s="49" t="s">
        <v>17</v>
      </c>
      <c r="C17" s="50">
        <v>0.333333333333333</v>
      </c>
      <c r="D17" s="50">
        <v>0.479166666666667</v>
      </c>
      <c r="E17" s="50">
        <f t="shared" si="0"/>
        <v>0.145833333333334</v>
      </c>
      <c r="F17" s="50">
        <v>0.5625</v>
      </c>
      <c r="G17" s="50">
        <v>0.75</v>
      </c>
      <c r="H17" s="50">
        <f t="shared" si="1"/>
        <v>0.1875</v>
      </c>
      <c r="I17" s="66">
        <v>0.333333333333333</v>
      </c>
      <c r="J17" s="64">
        <f t="shared" si="2"/>
        <v>0.333333333333334</v>
      </c>
      <c r="K17" s="64">
        <f t="shared" si="3"/>
        <v>1.0547118733939e-15</v>
      </c>
      <c r="L17" s="77"/>
    </row>
    <row r="18" spans="1:12">
      <c r="A18" s="48">
        <v>13</v>
      </c>
      <c r="B18" s="49" t="s">
        <v>18</v>
      </c>
      <c r="C18" s="50">
        <v>0.333333333333333</v>
      </c>
      <c r="D18" s="50">
        <v>0.489583333333333</v>
      </c>
      <c r="E18" s="50">
        <f t="shared" si="0"/>
        <v>0.15625</v>
      </c>
      <c r="F18" s="50">
        <v>0.576388888888889</v>
      </c>
      <c r="G18" s="50">
        <v>0.767361111111111</v>
      </c>
      <c r="H18" s="50">
        <f t="shared" si="1"/>
        <v>0.190972222222222</v>
      </c>
      <c r="I18" s="64">
        <v>0.333333333333333</v>
      </c>
      <c r="J18" s="64">
        <f t="shared" si="2"/>
        <v>0.347222222222222</v>
      </c>
      <c r="K18" s="64">
        <f t="shared" si="3"/>
        <v>0.0138888888888891</v>
      </c>
      <c r="L18" s="77"/>
    </row>
    <row r="19" spans="1:12">
      <c r="A19" s="48">
        <v>14</v>
      </c>
      <c r="B19" s="49" t="s">
        <v>19</v>
      </c>
      <c r="C19" s="50">
        <v>0.333333333333333</v>
      </c>
      <c r="D19" s="50">
        <v>0.520833333333333</v>
      </c>
      <c r="E19" s="50">
        <f t="shared" si="0"/>
        <v>0.1875</v>
      </c>
      <c r="F19" s="50">
        <v>0.583333333333333</v>
      </c>
      <c r="G19" s="50">
        <v>0.770833333333333</v>
      </c>
      <c r="H19" s="50">
        <f t="shared" si="1"/>
        <v>0.1875</v>
      </c>
      <c r="I19" s="64">
        <v>0.333333333333333</v>
      </c>
      <c r="J19" s="64">
        <f t="shared" si="2"/>
        <v>0.375</v>
      </c>
      <c r="K19" s="64">
        <f t="shared" si="3"/>
        <v>0.0416666666666671</v>
      </c>
      <c r="L19" s="77"/>
    </row>
    <row r="20" spans="1:12">
      <c r="A20" s="48">
        <v>15</v>
      </c>
      <c r="B20" s="49" t="s">
        <v>20</v>
      </c>
      <c r="C20" s="50">
        <v>0.333333333333333</v>
      </c>
      <c r="D20" s="50">
        <v>0.5</v>
      </c>
      <c r="E20" s="50">
        <f t="shared" si="0"/>
        <v>0.166666666666667</v>
      </c>
      <c r="F20" s="50"/>
      <c r="G20" s="50"/>
      <c r="H20" s="50">
        <f t="shared" si="1"/>
        <v>0</v>
      </c>
      <c r="I20" s="64">
        <v>0.166666666666667</v>
      </c>
      <c r="J20" s="64">
        <f t="shared" si="2"/>
        <v>0.166666666666667</v>
      </c>
      <c r="K20" s="64">
        <f t="shared" si="3"/>
        <v>0</v>
      </c>
      <c r="L20" s="77"/>
    </row>
    <row r="21" spans="1:12">
      <c r="A21" s="52">
        <v>16</v>
      </c>
      <c r="B21" s="53" t="s">
        <v>14</v>
      </c>
      <c r="C21" s="51">
        <v>0</v>
      </c>
      <c r="D21" s="51">
        <v>0</v>
      </c>
      <c r="E21" s="51">
        <f t="shared" si="0"/>
        <v>0</v>
      </c>
      <c r="F21" s="51">
        <v>0</v>
      </c>
      <c r="G21" s="51">
        <v>0</v>
      </c>
      <c r="H21" s="51">
        <f t="shared" si="1"/>
        <v>0</v>
      </c>
      <c r="I21" s="65">
        <v>0</v>
      </c>
      <c r="J21" s="65">
        <f t="shared" si="2"/>
        <v>0</v>
      </c>
      <c r="K21" s="65">
        <f t="shared" si="3"/>
        <v>0</v>
      </c>
      <c r="L21" s="77"/>
    </row>
    <row r="22" spans="1:12">
      <c r="A22" s="48">
        <v>17</v>
      </c>
      <c r="B22" s="49" t="s">
        <v>15</v>
      </c>
      <c r="C22" s="50">
        <v>0.333333333333333</v>
      </c>
      <c r="D22" s="50">
        <v>0.479166666666667</v>
      </c>
      <c r="E22" s="50">
        <f t="shared" si="0"/>
        <v>0.145833333333334</v>
      </c>
      <c r="F22" s="50">
        <v>0.5625</v>
      </c>
      <c r="G22" s="50">
        <v>0.791666666666667</v>
      </c>
      <c r="H22" s="50">
        <f t="shared" si="1"/>
        <v>0.229166666666667</v>
      </c>
      <c r="I22" s="64">
        <v>0.333333333333333</v>
      </c>
      <c r="J22" s="64">
        <f t="shared" si="2"/>
        <v>0.375000000000001</v>
      </c>
      <c r="K22" s="64">
        <f t="shared" si="3"/>
        <v>0.041666666666668</v>
      </c>
      <c r="L22" s="77"/>
    </row>
    <row r="23" spans="1:12">
      <c r="A23" s="48">
        <v>18</v>
      </c>
      <c r="B23" s="49" t="s">
        <v>16</v>
      </c>
      <c r="C23" s="50">
        <v>0.333333333333333</v>
      </c>
      <c r="D23" s="50">
        <v>0.53125</v>
      </c>
      <c r="E23" s="50">
        <f t="shared" si="0"/>
        <v>0.197916666666667</v>
      </c>
      <c r="F23" s="50">
        <v>0.583333333333333</v>
      </c>
      <c r="G23" s="50">
        <v>0.791666666666667</v>
      </c>
      <c r="H23" s="50">
        <f t="shared" si="1"/>
        <v>0.208333333333334</v>
      </c>
      <c r="I23" s="64">
        <v>0.333333333333333</v>
      </c>
      <c r="J23" s="64">
        <f t="shared" si="2"/>
        <v>0.406250000000001</v>
      </c>
      <c r="K23" s="64">
        <f t="shared" si="3"/>
        <v>0.072916666666668</v>
      </c>
      <c r="L23" s="77"/>
    </row>
    <row r="24" spans="1:12">
      <c r="A24" s="48">
        <v>19</v>
      </c>
      <c r="B24" s="49" t="s">
        <v>17</v>
      </c>
      <c r="C24" s="50">
        <v>0.333333333333333</v>
      </c>
      <c r="D24" s="50">
        <v>0.479166666666667</v>
      </c>
      <c r="E24" s="50">
        <f t="shared" si="0"/>
        <v>0.145833333333334</v>
      </c>
      <c r="F24" s="50">
        <v>0.583333333333333</v>
      </c>
      <c r="G24" s="50">
        <v>0.791666666666667</v>
      </c>
      <c r="H24" s="50">
        <f t="shared" si="1"/>
        <v>0.208333333333334</v>
      </c>
      <c r="I24" s="66">
        <v>0.333333333333333</v>
      </c>
      <c r="J24" s="64">
        <f t="shared" si="2"/>
        <v>0.354166666666668</v>
      </c>
      <c r="K24" s="64">
        <f t="shared" si="3"/>
        <v>0.020833333333335</v>
      </c>
      <c r="L24" s="77"/>
    </row>
    <row r="25" spans="1:12">
      <c r="A25" s="48">
        <v>20</v>
      </c>
      <c r="B25" s="49" t="s">
        <v>18</v>
      </c>
      <c r="C25" s="50">
        <v>0.333333333333333</v>
      </c>
      <c r="D25" s="50">
        <v>0.479166666666667</v>
      </c>
      <c r="E25" s="50">
        <f t="shared" si="0"/>
        <v>0.145833333333334</v>
      </c>
      <c r="F25" s="50">
        <v>0.583333333333333</v>
      </c>
      <c r="G25" s="50">
        <v>0.75</v>
      </c>
      <c r="H25" s="50">
        <f t="shared" si="1"/>
        <v>0.166666666666667</v>
      </c>
      <c r="I25" s="64">
        <v>0.333333333333333</v>
      </c>
      <c r="J25" s="64">
        <f t="shared" si="2"/>
        <v>0.312500000000001</v>
      </c>
      <c r="K25" s="64">
        <f t="shared" si="3"/>
        <v>-0.020833333333332</v>
      </c>
      <c r="L25" s="77"/>
    </row>
    <row r="26" spans="1:12">
      <c r="A26" s="48">
        <v>21</v>
      </c>
      <c r="B26" s="49" t="s">
        <v>19</v>
      </c>
      <c r="C26" s="50">
        <v>0.333333333333333</v>
      </c>
      <c r="D26" s="50">
        <v>0.479166666666667</v>
      </c>
      <c r="E26" s="50">
        <f t="shared" si="0"/>
        <v>0.145833333333334</v>
      </c>
      <c r="F26" s="50">
        <v>0.583333333333333</v>
      </c>
      <c r="G26" s="50">
        <v>0.75</v>
      </c>
      <c r="H26" s="50">
        <f t="shared" si="1"/>
        <v>0.166666666666667</v>
      </c>
      <c r="I26" s="64">
        <v>0.333333333333333</v>
      </c>
      <c r="J26" s="64">
        <f t="shared" si="2"/>
        <v>0.312500000000001</v>
      </c>
      <c r="K26" s="64">
        <f t="shared" si="3"/>
        <v>-0.020833333333332</v>
      </c>
      <c r="L26" s="77"/>
    </row>
    <row r="27" spans="1:12">
      <c r="A27" s="48">
        <v>22</v>
      </c>
      <c r="B27" s="49" t="s">
        <v>20</v>
      </c>
      <c r="C27" s="50">
        <v>0.333333333333333</v>
      </c>
      <c r="D27" s="50">
        <v>0.5</v>
      </c>
      <c r="E27" s="50">
        <f t="shared" si="0"/>
        <v>0.166666666666667</v>
      </c>
      <c r="F27" s="50"/>
      <c r="G27" s="50"/>
      <c r="H27" s="50">
        <f t="shared" si="1"/>
        <v>0</v>
      </c>
      <c r="I27" s="64">
        <v>0.166666666666667</v>
      </c>
      <c r="J27" s="64">
        <f t="shared" si="2"/>
        <v>0.166666666666667</v>
      </c>
      <c r="K27" s="64">
        <f t="shared" si="3"/>
        <v>0</v>
      </c>
      <c r="L27" s="77"/>
    </row>
    <row r="28" spans="1:12">
      <c r="A28" s="52">
        <v>23</v>
      </c>
      <c r="B28" s="53" t="s">
        <v>14</v>
      </c>
      <c r="C28" s="51">
        <v>0</v>
      </c>
      <c r="D28" s="51">
        <v>0</v>
      </c>
      <c r="E28" s="51">
        <f t="shared" si="0"/>
        <v>0</v>
      </c>
      <c r="F28" s="51">
        <v>0</v>
      </c>
      <c r="G28" s="51">
        <v>0</v>
      </c>
      <c r="H28" s="51">
        <f t="shared" si="1"/>
        <v>0</v>
      </c>
      <c r="I28" s="65">
        <v>0</v>
      </c>
      <c r="J28" s="65">
        <f t="shared" si="2"/>
        <v>0</v>
      </c>
      <c r="K28" s="65">
        <f t="shared" si="3"/>
        <v>0</v>
      </c>
      <c r="L28" s="77"/>
    </row>
    <row r="29" spans="1:12">
      <c r="A29" s="48">
        <v>24</v>
      </c>
      <c r="B29" s="49" t="s">
        <v>15</v>
      </c>
      <c r="C29" s="50">
        <v>0.333333333333333</v>
      </c>
      <c r="D29" s="50">
        <v>0.5</v>
      </c>
      <c r="E29" s="50">
        <f t="shared" si="0"/>
        <v>0.166666666666667</v>
      </c>
      <c r="F29" s="50"/>
      <c r="G29" s="50"/>
      <c r="H29" s="50">
        <f t="shared" si="1"/>
        <v>0</v>
      </c>
      <c r="I29" s="64">
        <v>0.166666666666667</v>
      </c>
      <c r="J29" s="64">
        <f t="shared" si="2"/>
        <v>0.166666666666667</v>
      </c>
      <c r="K29" s="64">
        <f t="shared" si="3"/>
        <v>0</v>
      </c>
      <c r="L29" s="77"/>
    </row>
    <row r="30" spans="1:12">
      <c r="A30" s="52">
        <v>25</v>
      </c>
      <c r="B30" s="53" t="s">
        <v>16</v>
      </c>
      <c r="C30" s="51"/>
      <c r="D30" s="51"/>
      <c r="E30" s="51">
        <f t="shared" si="0"/>
        <v>0</v>
      </c>
      <c r="F30" s="51"/>
      <c r="G30" s="51"/>
      <c r="H30" s="51">
        <f t="shared" si="1"/>
        <v>0</v>
      </c>
      <c r="I30" s="65">
        <v>0</v>
      </c>
      <c r="J30" s="65">
        <f t="shared" si="2"/>
        <v>0</v>
      </c>
      <c r="K30" s="65">
        <f t="shared" si="3"/>
        <v>0</v>
      </c>
      <c r="L30" s="77"/>
    </row>
    <row r="31" spans="1:12">
      <c r="A31" s="48">
        <v>26</v>
      </c>
      <c r="B31" s="49" t="s">
        <v>17</v>
      </c>
      <c r="C31" s="50">
        <v>0.333333333333333</v>
      </c>
      <c r="D31" s="50">
        <v>0.493055555555556</v>
      </c>
      <c r="E31" s="50">
        <f t="shared" si="0"/>
        <v>0.159722222222223</v>
      </c>
      <c r="F31" s="50">
        <v>0.565972222222222</v>
      </c>
      <c r="G31" s="50">
        <v>0.75</v>
      </c>
      <c r="H31" s="50">
        <f t="shared" si="1"/>
        <v>0.184027777777778</v>
      </c>
      <c r="I31" s="66">
        <v>0.333333333333333</v>
      </c>
      <c r="J31" s="64">
        <f t="shared" si="2"/>
        <v>0.343750000000001</v>
      </c>
      <c r="K31" s="64">
        <f t="shared" si="3"/>
        <v>0.0104166666666681</v>
      </c>
      <c r="L31" s="77"/>
    </row>
    <row r="32" spans="1:12">
      <c r="A32" s="48">
        <v>27</v>
      </c>
      <c r="B32" s="49" t="s">
        <v>18</v>
      </c>
      <c r="C32" s="50">
        <v>0.333333333333333</v>
      </c>
      <c r="D32" s="50">
        <v>0.479166666666667</v>
      </c>
      <c r="E32" s="50">
        <f t="shared" si="0"/>
        <v>0.145833333333334</v>
      </c>
      <c r="F32" s="50">
        <v>0.5625</v>
      </c>
      <c r="G32" s="50">
        <v>0.75</v>
      </c>
      <c r="H32" s="50">
        <f t="shared" si="1"/>
        <v>0.1875</v>
      </c>
      <c r="I32" s="64">
        <v>0.333333333333333</v>
      </c>
      <c r="J32" s="64">
        <f t="shared" si="2"/>
        <v>0.333333333333334</v>
      </c>
      <c r="K32" s="64">
        <f t="shared" si="3"/>
        <v>1.0547118733939e-15</v>
      </c>
      <c r="L32" s="77"/>
    </row>
    <row r="33" spans="1:12">
      <c r="A33" s="48">
        <v>28</v>
      </c>
      <c r="B33" s="49" t="s">
        <v>19</v>
      </c>
      <c r="C33" s="50">
        <v>0.333333333333333</v>
      </c>
      <c r="D33" s="50">
        <v>0.527777777777778</v>
      </c>
      <c r="E33" s="50">
        <f t="shared" si="0"/>
        <v>0.194444444444445</v>
      </c>
      <c r="F33" s="50">
        <v>0.576388888888889</v>
      </c>
      <c r="G33" s="50">
        <v>0.75</v>
      </c>
      <c r="H33" s="50">
        <f t="shared" si="1"/>
        <v>0.173611111111111</v>
      </c>
      <c r="I33" s="64">
        <v>0.333333333333333</v>
      </c>
      <c r="J33" s="64">
        <f t="shared" si="2"/>
        <v>0.368055555555556</v>
      </c>
      <c r="K33" s="64">
        <f t="shared" si="3"/>
        <v>0.0347222222222231</v>
      </c>
      <c r="L33" s="77"/>
    </row>
    <row r="34" spans="1:12">
      <c r="A34" s="48">
        <v>29</v>
      </c>
      <c r="B34" s="49" t="s">
        <v>20</v>
      </c>
      <c r="C34" s="50"/>
      <c r="D34" s="50"/>
      <c r="E34" s="50">
        <f t="shared" si="0"/>
        <v>0</v>
      </c>
      <c r="F34" s="50"/>
      <c r="G34" s="50"/>
      <c r="H34" s="50">
        <f t="shared" si="1"/>
        <v>0</v>
      </c>
      <c r="I34" s="64">
        <v>0</v>
      </c>
      <c r="J34" s="64">
        <f t="shared" si="2"/>
        <v>0</v>
      </c>
      <c r="K34" s="64">
        <f t="shared" si="3"/>
        <v>0</v>
      </c>
      <c r="L34" s="77"/>
    </row>
    <row r="35" spans="1:12">
      <c r="A35" s="52">
        <v>30</v>
      </c>
      <c r="B35" s="53" t="s">
        <v>14</v>
      </c>
      <c r="C35" s="51">
        <v>0</v>
      </c>
      <c r="D35" s="51">
        <v>0</v>
      </c>
      <c r="E35" s="51">
        <f t="shared" si="0"/>
        <v>0</v>
      </c>
      <c r="F35" s="51">
        <v>0</v>
      </c>
      <c r="G35" s="51">
        <v>0</v>
      </c>
      <c r="H35" s="51">
        <f t="shared" si="1"/>
        <v>0</v>
      </c>
      <c r="I35" s="65">
        <v>0</v>
      </c>
      <c r="J35" s="65">
        <f t="shared" si="2"/>
        <v>0</v>
      </c>
      <c r="K35" s="65">
        <f t="shared" si="3"/>
        <v>0</v>
      </c>
      <c r="L35" s="77"/>
    </row>
    <row r="36" spans="1:12">
      <c r="A36" s="48">
        <v>31</v>
      </c>
      <c r="B36" s="49" t="s">
        <v>15</v>
      </c>
      <c r="C36" s="50"/>
      <c r="D36" s="50"/>
      <c r="E36" s="50">
        <f t="shared" si="0"/>
        <v>0</v>
      </c>
      <c r="F36" s="50"/>
      <c r="G36" s="50"/>
      <c r="H36" s="50">
        <f t="shared" si="1"/>
        <v>0</v>
      </c>
      <c r="I36" s="64">
        <v>0</v>
      </c>
      <c r="J36" s="64">
        <f t="shared" si="2"/>
        <v>0</v>
      </c>
      <c r="K36" s="64">
        <f t="shared" si="3"/>
        <v>0</v>
      </c>
      <c r="L36" s="77"/>
    </row>
    <row r="37" spans="1:12">
      <c r="A37" s="48"/>
      <c r="B37" s="48"/>
      <c r="C37" s="50"/>
      <c r="D37" s="50"/>
      <c r="E37" s="50"/>
      <c r="F37" s="50"/>
      <c r="G37" s="50"/>
      <c r="H37" s="50"/>
      <c r="I37" s="64">
        <f>SUM(I6:I36)</f>
        <v>6.66666666666666</v>
      </c>
      <c r="J37" s="64">
        <f>SUM(J6:J36)</f>
        <v>7.09930555555557</v>
      </c>
      <c r="K37" s="64">
        <f t="shared" si="3"/>
        <v>0.432638888888905</v>
      </c>
      <c r="L37" s="77"/>
    </row>
    <row r="38" spans="1:12">
      <c r="A38" s="57"/>
      <c r="B38" s="57"/>
      <c r="C38" s="58"/>
      <c r="D38" s="58"/>
      <c r="E38" s="58"/>
      <c r="F38" s="58"/>
      <c r="G38" s="58"/>
      <c r="H38" s="58"/>
      <c r="I38" s="68"/>
      <c r="J38" s="68"/>
      <c r="K38" s="57"/>
      <c r="L38" s="77"/>
    </row>
    <row r="39" spans="1:12">
      <c r="A39" s="59" t="s">
        <v>21</v>
      </c>
      <c r="B39" s="59"/>
      <c r="C39" s="58">
        <f>J37</f>
        <v>7.09930555555557</v>
      </c>
      <c r="D39" s="58"/>
      <c r="E39" s="58"/>
      <c r="F39" s="58"/>
      <c r="G39" s="58"/>
      <c r="H39" s="58"/>
      <c r="I39" s="68"/>
      <c r="J39" s="68"/>
      <c r="K39" s="57"/>
      <c r="L39" s="77"/>
    </row>
    <row r="40" spans="1:12">
      <c r="A40" s="59" t="s">
        <v>22</v>
      </c>
      <c r="B40" s="59"/>
      <c r="C40" s="58">
        <f>I37</f>
        <v>6.66666666666666</v>
      </c>
      <c r="D40" s="60"/>
      <c r="E40" s="60"/>
      <c r="F40" s="60"/>
      <c r="G40" s="60"/>
      <c r="H40" s="60"/>
      <c r="I40" s="57"/>
      <c r="J40" s="57"/>
      <c r="K40" s="57"/>
      <c r="L40" s="77"/>
    </row>
    <row r="41" spans="1:12">
      <c r="A41" s="61"/>
      <c r="B41" s="61"/>
      <c r="C41" s="60"/>
      <c r="D41" s="60"/>
      <c r="E41" s="60"/>
      <c r="F41" s="60"/>
      <c r="G41" s="60"/>
      <c r="H41" s="60"/>
      <c r="I41" s="57"/>
      <c r="J41" s="57"/>
      <c r="K41" s="57"/>
      <c r="L41" s="77"/>
    </row>
    <row r="42" spans="1:12">
      <c r="A42" s="57"/>
      <c r="B42" s="57" t="s">
        <v>13</v>
      </c>
      <c r="C42" s="58">
        <f>C39-C40</f>
        <v>0.432638888888905</v>
      </c>
      <c r="D42" s="60"/>
      <c r="E42" s="60"/>
      <c r="F42" s="60"/>
      <c r="G42" s="60"/>
      <c r="H42" s="60"/>
      <c r="I42" s="57"/>
      <c r="J42" s="57"/>
      <c r="K42" s="57"/>
      <c r="L42" s="77"/>
    </row>
    <row r="43" spans="1:12">
      <c r="A43" s="57"/>
      <c r="B43" s="57"/>
      <c r="C43" s="60"/>
      <c r="D43" s="60"/>
      <c r="E43" s="60"/>
      <c r="F43" s="60"/>
      <c r="G43" s="60"/>
      <c r="H43" s="60"/>
      <c r="I43" s="57"/>
      <c r="J43" s="57"/>
      <c r="K43" s="57"/>
      <c r="L43" s="77"/>
    </row>
    <row r="44" spans="1:12">
      <c r="A44" s="62" t="s">
        <v>38</v>
      </c>
      <c r="B44" s="62"/>
      <c r="C44" s="62"/>
      <c r="D44" s="62"/>
      <c r="E44" s="62"/>
      <c r="F44" s="62"/>
      <c r="G44" s="62"/>
      <c r="H44" s="62"/>
      <c r="I44" s="62"/>
      <c r="J44" s="62"/>
      <c r="K44" s="57"/>
      <c r="L44" s="77"/>
    </row>
    <row r="45" spans="1:12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</row>
    <row r="46" spans="1:12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</row>
  </sheetData>
  <mergeCells count="10">
    <mergeCell ref="A1:K1"/>
    <mergeCell ref="A2:B2"/>
    <mergeCell ref="C2:K2"/>
    <mergeCell ref="A3:B3"/>
    <mergeCell ref="C3:K3"/>
    <mergeCell ref="C4:E4"/>
    <mergeCell ref="F4:H4"/>
    <mergeCell ref="A39:B39"/>
    <mergeCell ref="A40:B40"/>
    <mergeCell ref="A44:J44"/>
  </mergeCells>
  <pageMargins left="0.511805555555555" right="0.511805555555555" top="0.7875" bottom="0.7875" header="0.511805555555555" footer="0.511805555555555"/>
  <pageSetup paperSize="9" firstPageNumber="0" orientation="portrait" useFirstPageNumber="1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"/>
  <sheetViews>
    <sheetView topLeftCell="A13" workbookViewId="0">
      <selection activeCell="K39" sqref="K39"/>
    </sheetView>
  </sheetViews>
  <sheetFormatPr defaultColWidth="9.01904761904762" defaultRowHeight="15"/>
  <cols>
    <col min="1" max="1" width="2.99047619047619" customWidth="1"/>
    <col min="2" max="2" width="13.2857142857143" customWidth="1"/>
  </cols>
  <sheetData>
    <row r="1" spans="1:11">
      <c r="A1" s="71" t="s">
        <v>27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spans="1:11">
      <c r="A2" s="72" t="s">
        <v>1</v>
      </c>
      <c r="B2" s="72"/>
      <c r="C2" s="72" t="s">
        <v>28</v>
      </c>
      <c r="D2" s="72"/>
      <c r="E2" s="72"/>
      <c r="F2" s="72"/>
      <c r="G2" s="72"/>
      <c r="H2" s="72"/>
      <c r="I2" s="72"/>
      <c r="J2" s="72"/>
      <c r="K2" s="72"/>
    </row>
    <row r="3" spans="1:11">
      <c r="A3" s="72" t="s">
        <v>3</v>
      </c>
      <c r="B3" s="72"/>
      <c r="C3" s="73" t="s">
        <v>39</v>
      </c>
      <c r="D3" s="73"/>
      <c r="E3" s="73"/>
      <c r="F3" s="73"/>
      <c r="G3" s="73"/>
      <c r="H3" s="73"/>
      <c r="I3" s="73"/>
      <c r="J3" s="73"/>
      <c r="K3" s="73"/>
    </row>
    <row r="4" spans="1:11">
      <c r="A4" s="74"/>
      <c r="B4" s="74"/>
      <c r="C4" s="75" t="s">
        <v>5</v>
      </c>
      <c r="D4" s="75"/>
      <c r="E4" s="75"/>
      <c r="F4" s="75" t="s">
        <v>6</v>
      </c>
      <c r="G4" s="75"/>
      <c r="H4" s="75"/>
      <c r="I4" s="74"/>
      <c r="J4" s="74"/>
      <c r="K4" s="76"/>
    </row>
    <row r="5" spans="1:11">
      <c r="A5" s="76"/>
      <c r="B5" s="71"/>
      <c r="C5" s="71" t="s">
        <v>7</v>
      </c>
      <c r="D5" s="71" t="s">
        <v>8</v>
      </c>
      <c r="E5" s="71" t="s">
        <v>9</v>
      </c>
      <c r="F5" s="71" t="s">
        <v>7</v>
      </c>
      <c r="G5" s="71" t="s">
        <v>10</v>
      </c>
      <c r="H5" s="71" t="s">
        <v>9</v>
      </c>
      <c r="I5" s="78" t="s">
        <v>11</v>
      </c>
      <c r="J5" s="78" t="s">
        <v>12</v>
      </c>
      <c r="K5" s="71" t="s">
        <v>13</v>
      </c>
    </row>
    <row r="6" s="77" customFormat="1" spans="1:11">
      <c r="A6" s="48">
        <v>1</v>
      </c>
      <c r="B6" s="49" t="s">
        <v>17</v>
      </c>
      <c r="C6" s="50">
        <v>0.333333333333333</v>
      </c>
      <c r="D6" s="50">
        <v>0.479166666666667</v>
      </c>
      <c r="E6" s="50">
        <f t="shared" ref="E6:E34" si="0">D6-C6</f>
        <v>0.145833333333334</v>
      </c>
      <c r="F6" s="50">
        <v>0.5625</v>
      </c>
      <c r="G6" s="50">
        <v>0.75</v>
      </c>
      <c r="H6" s="50">
        <f t="shared" ref="H6:H34" si="1">G6-F6</f>
        <v>0.1875</v>
      </c>
      <c r="I6" s="64">
        <v>0.333333333333333</v>
      </c>
      <c r="J6" s="64">
        <f t="shared" ref="J6:J34" si="2">E6+H6</f>
        <v>0.333333333333334</v>
      </c>
      <c r="K6" s="64">
        <f t="shared" ref="K6:K34" si="3">J6-I6</f>
        <v>1.0547118733939e-15</v>
      </c>
    </row>
    <row r="7" s="77" customFormat="1" spans="1:11">
      <c r="A7" s="48">
        <v>2</v>
      </c>
      <c r="B7" s="49" t="s">
        <v>18</v>
      </c>
      <c r="C7" s="50">
        <v>0.333333333333333</v>
      </c>
      <c r="D7" s="50">
        <v>0.479166666666667</v>
      </c>
      <c r="E7" s="50">
        <f t="shared" si="0"/>
        <v>0.145833333333334</v>
      </c>
      <c r="F7" s="50">
        <v>0.5625</v>
      </c>
      <c r="G7" s="50">
        <v>0.75</v>
      </c>
      <c r="H7" s="50">
        <f t="shared" si="1"/>
        <v>0.1875</v>
      </c>
      <c r="I7" s="64">
        <v>0.333333333333333</v>
      </c>
      <c r="J7" s="64">
        <f t="shared" si="2"/>
        <v>0.333333333333334</v>
      </c>
      <c r="K7" s="64">
        <f t="shared" si="3"/>
        <v>1.0547118733939e-15</v>
      </c>
    </row>
    <row r="8" s="77" customFormat="1" spans="1:11">
      <c r="A8" s="48">
        <v>3</v>
      </c>
      <c r="B8" s="49" t="s">
        <v>19</v>
      </c>
      <c r="C8" s="50">
        <v>0.333333333333333</v>
      </c>
      <c r="D8" s="50">
        <v>0.479166666666667</v>
      </c>
      <c r="E8" s="50">
        <f t="shared" si="0"/>
        <v>0.145833333333334</v>
      </c>
      <c r="F8" s="50">
        <v>0.5625</v>
      </c>
      <c r="G8" s="50">
        <v>0.75</v>
      </c>
      <c r="H8" s="50">
        <f t="shared" si="1"/>
        <v>0.1875</v>
      </c>
      <c r="I8" s="64">
        <v>0.333333333333333</v>
      </c>
      <c r="J8" s="64">
        <f t="shared" si="2"/>
        <v>0.333333333333334</v>
      </c>
      <c r="K8" s="64">
        <f t="shared" si="3"/>
        <v>1.0547118733939e-15</v>
      </c>
    </row>
    <row r="9" s="77" customFormat="1" spans="1:11">
      <c r="A9" s="48">
        <v>4</v>
      </c>
      <c r="B9" s="49" t="s">
        <v>20</v>
      </c>
      <c r="C9" s="50">
        <v>0.333333333333333</v>
      </c>
      <c r="D9" s="50">
        <v>0.5</v>
      </c>
      <c r="E9" s="50">
        <f t="shared" si="0"/>
        <v>0.166666666666667</v>
      </c>
      <c r="F9" s="50">
        <v>0</v>
      </c>
      <c r="G9" s="50">
        <v>0</v>
      </c>
      <c r="H9" s="50">
        <f t="shared" si="1"/>
        <v>0</v>
      </c>
      <c r="I9" s="64">
        <v>0.166666666666667</v>
      </c>
      <c r="J9" s="64">
        <f t="shared" si="2"/>
        <v>0.166666666666667</v>
      </c>
      <c r="K9" s="64">
        <f t="shared" si="3"/>
        <v>0</v>
      </c>
    </row>
    <row r="10" s="87" customFormat="1" spans="1:11">
      <c r="A10" s="88">
        <v>5</v>
      </c>
      <c r="B10" s="89" t="s">
        <v>14</v>
      </c>
      <c r="C10" s="90">
        <v>0</v>
      </c>
      <c r="D10" s="90">
        <v>0</v>
      </c>
      <c r="E10" s="90">
        <f t="shared" si="0"/>
        <v>0</v>
      </c>
      <c r="F10" s="90">
        <v>0</v>
      </c>
      <c r="G10" s="90">
        <v>0</v>
      </c>
      <c r="H10" s="90">
        <f t="shared" si="1"/>
        <v>0</v>
      </c>
      <c r="I10" s="91">
        <v>0</v>
      </c>
      <c r="J10" s="91">
        <f t="shared" si="2"/>
        <v>0</v>
      </c>
      <c r="K10" s="91">
        <f t="shared" si="3"/>
        <v>0</v>
      </c>
    </row>
    <row r="11" s="77" customFormat="1" spans="1:11">
      <c r="A11" s="48">
        <v>6</v>
      </c>
      <c r="B11" s="49" t="s">
        <v>15</v>
      </c>
      <c r="C11" s="50">
        <v>0.333333333333333</v>
      </c>
      <c r="D11" s="50">
        <v>0.479166666666667</v>
      </c>
      <c r="E11" s="50">
        <f t="shared" si="0"/>
        <v>0.145833333333334</v>
      </c>
      <c r="F11" s="50">
        <v>0.5625</v>
      </c>
      <c r="G11" s="50">
        <v>0.75</v>
      </c>
      <c r="H11" s="50">
        <f t="shared" si="1"/>
        <v>0.1875</v>
      </c>
      <c r="I11" s="64">
        <v>0.333333333333333</v>
      </c>
      <c r="J11" s="64">
        <f t="shared" si="2"/>
        <v>0.333333333333334</v>
      </c>
      <c r="K11" s="64">
        <f t="shared" si="3"/>
        <v>1.0547118733939e-15</v>
      </c>
    </row>
    <row r="12" s="77" customFormat="1" spans="1:11">
      <c r="A12" s="48">
        <v>7</v>
      </c>
      <c r="B12" s="49" t="s">
        <v>16</v>
      </c>
      <c r="C12" s="50">
        <v>0.458333333333333</v>
      </c>
      <c r="D12" s="50">
        <v>0.479166666666667</v>
      </c>
      <c r="E12" s="50">
        <f t="shared" si="0"/>
        <v>0.020833333333334</v>
      </c>
      <c r="F12" s="50">
        <v>0.5625</v>
      </c>
      <c r="G12" s="50">
        <v>0.75</v>
      </c>
      <c r="H12" s="50">
        <f t="shared" si="1"/>
        <v>0.1875</v>
      </c>
      <c r="I12" s="64">
        <v>0.333333333333333</v>
      </c>
      <c r="J12" s="64">
        <f t="shared" si="2"/>
        <v>0.208333333333334</v>
      </c>
      <c r="K12" s="64">
        <f t="shared" si="3"/>
        <v>-0.124999999999999</v>
      </c>
    </row>
    <row r="13" s="77" customFormat="1" spans="1:11">
      <c r="A13" s="48">
        <v>8</v>
      </c>
      <c r="B13" s="49" t="s">
        <v>17</v>
      </c>
      <c r="C13" s="50">
        <v>0.333333333333333</v>
      </c>
      <c r="D13" s="50">
        <v>0.479166666666667</v>
      </c>
      <c r="E13" s="50">
        <f t="shared" si="0"/>
        <v>0.145833333333334</v>
      </c>
      <c r="F13" s="50">
        <v>0.5625</v>
      </c>
      <c r="G13" s="50">
        <v>0.75</v>
      </c>
      <c r="H13" s="50">
        <f t="shared" si="1"/>
        <v>0.1875</v>
      </c>
      <c r="I13" s="64">
        <v>0.333333333333333</v>
      </c>
      <c r="J13" s="64">
        <f t="shared" si="2"/>
        <v>0.333333333333334</v>
      </c>
      <c r="K13" s="64">
        <f t="shared" si="3"/>
        <v>1.0547118733939e-15</v>
      </c>
    </row>
    <row r="14" s="77" customFormat="1" spans="1:11">
      <c r="A14" s="48">
        <v>9</v>
      </c>
      <c r="B14" s="49" t="s">
        <v>18</v>
      </c>
      <c r="C14" s="50">
        <v>0.333333333333333</v>
      </c>
      <c r="D14" s="50">
        <v>0.513888888888889</v>
      </c>
      <c r="E14" s="50">
        <f t="shared" si="0"/>
        <v>0.180555555555556</v>
      </c>
      <c r="F14" s="50">
        <v>0.5625</v>
      </c>
      <c r="G14" s="50">
        <v>0.75</v>
      </c>
      <c r="H14" s="50">
        <f t="shared" si="1"/>
        <v>0.1875</v>
      </c>
      <c r="I14" s="64">
        <v>0.333333333333333</v>
      </c>
      <c r="J14" s="64">
        <f t="shared" si="2"/>
        <v>0.368055555555556</v>
      </c>
      <c r="K14" s="64">
        <f t="shared" si="3"/>
        <v>0.034722222222223</v>
      </c>
    </row>
    <row r="15" s="77" customFormat="1" spans="1:11">
      <c r="A15" s="48">
        <v>10</v>
      </c>
      <c r="B15" s="49" t="s">
        <v>19</v>
      </c>
      <c r="C15" s="50">
        <v>0.333333333333333</v>
      </c>
      <c r="D15" s="50">
        <v>0.479166666666667</v>
      </c>
      <c r="E15" s="50">
        <f t="shared" si="0"/>
        <v>0.145833333333334</v>
      </c>
      <c r="F15" s="50">
        <v>0.5625</v>
      </c>
      <c r="G15" s="50">
        <v>0.770833333333333</v>
      </c>
      <c r="H15" s="50">
        <f t="shared" si="1"/>
        <v>0.208333333333333</v>
      </c>
      <c r="I15" s="64">
        <v>0.333333333333333</v>
      </c>
      <c r="J15" s="64">
        <f t="shared" si="2"/>
        <v>0.354166666666667</v>
      </c>
      <c r="K15" s="64">
        <f t="shared" si="3"/>
        <v>0.0208333333333341</v>
      </c>
    </row>
    <row r="16" s="77" customFormat="1" spans="1:11">
      <c r="A16" s="48">
        <v>11</v>
      </c>
      <c r="B16" s="49" t="s">
        <v>20</v>
      </c>
      <c r="C16" s="50">
        <v>0.333333333333333</v>
      </c>
      <c r="D16" s="50">
        <v>0.479166666666667</v>
      </c>
      <c r="E16" s="50">
        <f t="shared" si="0"/>
        <v>0.145833333333334</v>
      </c>
      <c r="F16" s="50">
        <v>0</v>
      </c>
      <c r="G16" s="50">
        <v>0</v>
      </c>
      <c r="H16" s="50">
        <f t="shared" si="1"/>
        <v>0</v>
      </c>
      <c r="I16" s="64">
        <v>0.166666666666667</v>
      </c>
      <c r="J16" s="64">
        <f t="shared" si="2"/>
        <v>0.145833333333334</v>
      </c>
      <c r="K16" s="64">
        <f t="shared" si="3"/>
        <v>-0.020833333333333</v>
      </c>
    </row>
    <row r="17" s="87" customFormat="1" spans="1:11">
      <c r="A17" s="88">
        <v>12</v>
      </c>
      <c r="B17" s="89" t="s">
        <v>14</v>
      </c>
      <c r="C17" s="90">
        <v>0</v>
      </c>
      <c r="D17" s="90">
        <v>0</v>
      </c>
      <c r="E17" s="90">
        <f t="shared" si="0"/>
        <v>0</v>
      </c>
      <c r="F17" s="90">
        <v>0</v>
      </c>
      <c r="G17" s="90">
        <v>0</v>
      </c>
      <c r="H17" s="90">
        <f t="shared" si="1"/>
        <v>0</v>
      </c>
      <c r="I17" s="91">
        <v>0</v>
      </c>
      <c r="J17" s="91">
        <f t="shared" si="2"/>
        <v>0</v>
      </c>
      <c r="K17" s="91">
        <f t="shared" si="3"/>
        <v>0</v>
      </c>
    </row>
    <row r="18" s="77" customFormat="1" spans="1:11">
      <c r="A18" s="48">
        <v>13</v>
      </c>
      <c r="B18" s="49" t="s">
        <v>15</v>
      </c>
      <c r="C18" s="50">
        <v>0.326388888888889</v>
      </c>
      <c r="D18" s="50">
        <v>0.479166666666667</v>
      </c>
      <c r="E18" s="50">
        <f t="shared" si="0"/>
        <v>0.152777777777778</v>
      </c>
      <c r="F18" s="50">
        <v>0.5625</v>
      </c>
      <c r="G18" s="50">
        <v>0.75</v>
      </c>
      <c r="H18" s="50">
        <f t="shared" si="1"/>
        <v>0.1875</v>
      </c>
      <c r="I18" s="64">
        <v>0.333333333333333</v>
      </c>
      <c r="J18" s="64">
        <f t="shared" si="2"/>
        <v>0.340277777777778</v>
      </c>
      <c r="K18" s="64">
        <f t="shared" si="3"/>
        <v>0.00694444444444503</v>
      </c>
    </row>
    <row r="19" s="77" customFormat="1" spans="1:11">
      <c r="A19" s="48">
        <v>14</v>
      </c>
      <c r="B19" s="49" t="s">
        <v>16</v>
      </c>
      <c r="C19" s="50">
        <v>0.319444444444444</v>
      </c>
      <c r="D19" s="50">
        <v>0.479166666666667</v>
      </c>
      <c r="E19" s="50">
        <f t="shared" si="0"/>
        <v>0.159722222222223</v>
      </c>
      <c r="F19" s="50">
        <v>0.569444444444444</v>
      </c>
      <c r="G19" s="50">
        <v>0.75</v>
      </c>
      <c r="H19" s="50">
        <f t="shared" si="1"/>
        <v>0.180555555555556</v>
      </c>
      <c r="I19" s="64">
        <v>0.333333333333333</v>
      </c>
      <c r="J19" s="64">
        <f t="shared" si="2"/>
        <v>0.340277777777779</v>
      </c>
      <c r="K19" s="64">
        <f t="shared" si="3"/>
        <v>0.00694444444444609</v>
      </c>
    </row>
    <row r="20" s="77" customFormat="1" spans="1:11">
      <c r="A20" s="48">
        <v>15</v>
      </c>
      <c r="B20" s="49" t="s">
        <v>17</v>
      </c>
      <c r="C20" s="50">
        <v>0.364583333333333</v>
      </c>
      <c r="D20" s="50">
        <v>0.479166666666667</v>
      </c>
      <c r="E20" s="50">
        <f t="shared" si="0"/>
        <v>0.114583333333334</v>
      </c>
      <c r="F20" s="50">
        <v>0.5625</v>
      </c>
      <c r="G20" s="50">
        <v>0.75</v>
      </c>
      <c r="H20" s="50">
        <f t="shared" si="1"/>
        <v>0.1875</v>
      </c>
      <c r="I20" s="64">
        <v>0.333333333333333</v>
      </c>
      <c r="J20" s="64">
        <f t="shared" si="2"/>
        <v>0.302083333333334</v>
      </c>
      <c r="K20" s="64">
        <f t="shared" si="3"/>
        <v>-0.0312499999999989</v>
      </c>
    </row>
    <row r="21" s="77" customFormat="1" spans="1:11">
      <c r="A21" s="48">
        <v>16</v>
      </c>
      <c r="B21" s="49" t="s">
        <v>18</v>
      </c>
      <c r="C21" s="50">
        <v>0.333333333333333</v>
      </c>
      <c r="D21" s="50">
        <v>0.479166666666667</v>
      </c>
      <c r="E21" s="50">
        <f t="shared" si="0"/>
        <v>0.145833333333334</v>
      </c>
      <c r="F21" s="50">
        <v>0.5625</v>
      </c>
      <c r="G21" s="50">
        <v>0.75</v>
      </c>
      <c r="H21" s="50">
        <f t="shared" si="1"/>
        <v>0.1875</v>
      </c>
      <c r="I21" s="64">
        <v>0.333333333333333</v>
      </c>
      <c r="J21" s="64">
        <f t="shared" si="2"/>
        <v>0.333333333333334</v>
      </c>
      <c r="K21" s="64">
        <f t="shared" si="3"/>
        <v>1.0547118733939e-15</v>
      </c>
    </row>
    <row r="22" s="77" customFormat="1" spans="1:11">
      <c r="A22" s="48">
        <v>17</v>
      </c>
      <c r="B22" s="49" t="s">
        <v>19</v>
      </c>
      <c r="C22" s="50">
        <v>0.322916666666667</v>
      </c>
      <c r="D22" s="50">
        <v>0.479166666666667</v>
      </c>
      <c r="E22" s="50">
        <f t="shared" si="0"/>
        <v>0.15625</v>
      </c>
      <c r="F22" s="50">
        <v>0.5625</v>
      </c>
      <c r="G22" s="50">
        <v>0.75</v>
      </c>
      <c r="H22" s="50">
        <f t="shared" si="1"/>
        <v>0.1875</v>
      </c>
      <c r="I22" s="64">
        <v>0.333333333333333</v>
      </c>
      <c r="J22" s="64">
        <f t="shared" si="2"/>
        <v>0.34375</v>
      </c>
      <c r="K22" s="64">
        <f t="shared" si="3"/>
        <v>0.010416666666667</v>
      </c>
    </row>
    <row r="23" s="77" customFormat="1" spans="1:11">
      <c r="A23" s="48">
        <v>18</v>
      </c>
      <c r="B23" s="49" t="s">
        <v>20</v>
      </c>
      <c r="C23" s="50">
        <v>0.333333333333333</v>
      </c>
      <c r="D23" s="50">
        <v>0.520833333333333</v>
      </c>
      <c r="E23" s="50">
        <f t="shared" si="0"/>
        <v>0.1875</v>
      </c>
      <c r="F23" s="50">
        <v>0</v>
      </c>
      <c r="G23" s="50">
        <v>0</v>
      </c>
      <c r="H23" s="50">
        <f t="shared" si="1"/>
        <v>0</v>
      </c>
      <c r="I23" s="64">
        <v>0.166666666666667</v>
      </c>
      <c r="J23" s="64">
        <f t="shared" si="2"/>
        <v>0.1875</v>
      </c>
      <c r="K23" s="64">
        <f t="shared" si="3"/>
        <v>0.0208333333333331</v>
      </c>
    </row>
    <row r="24" s="87" customFormat="1" spans="1:11">
      <c r="A24" s="88">
        <v>19</v>
      </c>
      <c r="B24" s="89" t="s">
        <v>14</v>
      </c>
      <c r="C24" s="90">
        <v>0</v>
      </c>
      <c r="D24" s="90">
        <v>0</v>
      </c>
      <c r="E24" s="90">
        <f t="shared" si="0"/>
        <v>0</v>
      </c>
      <c r="F24" s="90">
        <v>0</v>
      </c>
      <c r="G24" s="90">
        <v>0</v>
      </c>
      <c r="H24" s="90">
        <f t="shared" si="1"/>
        <v>0</v>
      </c>
      <c r="I24" s="91">
        <v>0</v>
      </c>
      <c r="J24" s="91">
        <f t="shared" si="2"/>
        <v>0</v>
      </c>
      <c r="K24" s="91">
        <f t="shared" si="3"/>
        <v>0</v>
      </c>
    </row>
    <row r="25" s="77" customFormat="1" spans="1:11">
      <c r="A25" s="48">
        <v>20</v>
      </c>
      <c r="B25" s="49" t="s">
        <v>15</v>
      </c>
      <c r="C25" s="50">
        <v>0.333333333333333</v>
      </c>
      <c r="D25" s="50">
        <v>0.5</v>
      </c>
      <c r="E25" s="50">
        <f t="shared" si="0"/>
        <v>0.166666666666667</v>
      </c>
      <c r="F25" s="50">
        <v>0.5625</v>
      </c>
      <c r="G25" s="50">
        <v>0.75</v>
      </c>
      <c r="H25" s="50">
        <f t="shared" si="1"/>
        <v>0.1875</v>
      </c>
      <c r="I25" s="64">
        <v>0.333333333333333</v>
      </c>
      <c r="J25" s="64">
        <f t="shared" si="2"/>
        <v>0.354166666666667</v>
      </c>
      <c r="K25" s="64">
        <f t="shared" si="3"/>
        <v>0.020833333333334</v>
      </c>
    </row>
    <row r="26" s="77" customFormat="1" spans="1:11">
      <c r="A26" s="48">
        <v>21</v>
      </c>
      <c r="B26" s="49" t="s">
        <v>16</v>
      </c>
      <c r="C26" s="50">
        <v>0</v>
      </c>
      <c r="D26" s="50">
        <v>0</v>
      </c>
      <c r="E26" s="50">
        <f t="shared" si="0"/>
        <v>0</v>
      </c>
      <c r="F26" s="50">
        <v>0</v>
      </c>
      <c r="G26" s="50">
        <v>0</v>
      </c>
      <c r="H26" s="50">
        <f t="shared" si="1"/>
        <v>0</v>
      </c>
      <c r="I26" s="64">
        <v>0</v>
      </c>
      <c r="J26" s="64">
        <f t="shared" si="2"/>
        <v>0</v>
      </c>
      <c r="K26" s="64">
        <f t="shared" si="3"/>
        <v>0</v>
      </c>
    </row>
    <row r="27" s="77" customFormat="1" spans="1:11">
      <c r="A27" s="48">
        <v>22</v>
      </c>
      <c r="B27" s="49" t="s">
        <v>17</v>
      </c>
      <c r="C27" s="50">
        <v>0</v>
      </c>
      <c r="D27" s="50">
        <v>0</v>
      </c>
      <c r="E27" s="50">
        <f t="shared" si="0"/>
        <v>0</v>
      </c>
      <c r="F27" s="50">
        <v>0</v>
      </c>
      <c r="G27" s="50">
        <v>0</v>
      </c>
      <c r="H27" s="50">
        <f t="shared" si="1"/>
        <v>0</v>
      </c>
      <c r="I27" s="64">
        <v>0.166666666666667</v>
      </c>
      <c r="J27" s="64">
        <f t="shared" si="2"/>
        <v>0</v>
      </c>
      <c r="K27" s="64">
        <f t="shared" si="3"/>
        <v>-0.166666666666667</v>
      </c>
    </row>
    <row r="28" s="77" customFormat="1" spans="1:11">
      <c r="A28" s="48">
        <v>23</v>
      </c>
      <c r="B28" s="49" t="s">
        <v>18</v>
      </c>
      <c r="C28" s="50">
        <v>0.333333333333333</v>
      </c>
      <c r="D28" s="50">
        <v>0.5</v>
      </c>
      <c r="E28" s="50">
        <f t="shared" si="0"/>
        <v>0.166666666666667</v>
      </c>
      <c r="F28" s="50">
        <v>0.5625</v>
      </c>
      <c r="G28" s="50">
        <v>0.75</v>
      </c>
      <c r="H28" s="50">
        <f t="shared" si="1"/>
        <v>0.1875</v>
      </c>
      <c r="I28" s="64">
        <v>0.333333333333333</v>
      </c>
      <c r="J28" s="64">
        <f t="shared" si="2"/>
        <v>0.354166666666667</v>
      </c>
      <c r="K28" s="64">
        <f t="shared" si="3"/>
        <v>0.020833333333334</v>
      </c>
    </row>
    <row r="29" s="77" customFormat="1" spans="1:11">
      <c r="A29" s="48">
        <v>24</v>
      </c>
      <c r="B29" s="49" t="s">
        <v>19</v>
      </c>
      <c r="C29" s="50">
        <v>0.319444444444444</v>
      </c>
      <c r="D29" s="50">
        <v>0.5</v>
      </c>
      <c r="E29" s="50">
        <f t="shared" si="0"/>
        <v>0.180555555555556</v>
      </c>
      <c r="F29" s="50">
        <v>0.5625</v>
      </c>
      <c r="G29" s="50">
        <v>0.75</v>
      </c>
      <c r="H29" s="50">
        <f t="shared" si="1"/>
        <v>0.1875</v>
      </c>
      <c r="I29" s="64">
        <v>0.333333333333333</v>
      </c>
      <c r="J29" s="64">
        <f t="shared" si="2"/>
        <v>0.368055555555556</v>
      </c>
      <c r="K29" s="64">
        <f t="shared" si="3"/>
        <v>0.034722222222223</v>
      </c>
    </row>
    <row r="30" s="77" customFormat="1" spans="1:11">
      <c r="A30" s="48">
        <v>25</v>
      </c>
      <c r="B30" s="49" t="s">
        <v>20</v>
      </c>
      <c r="C30" s="50">
        <v>0.354166666666667</v>
      </c>
      <c r="D30" s="50">
        <v>0.520833333333333</v>
      </c>
      <c r="E30" s="50">
        <f t="shared" si="0"/>
        <v>0.166666666666666</v>
      </c>
      <c r="F30" s="50">
        <v>0</v>
      </c>
      <c r="G30" s="50">
        <v>0</v>
      </c>
      <c r="H30" s="50">
        <f t="shared" si="1"/>
        <v>0</v>
      </c>
      <c r="I30" s="64">
        <v>0.166666666666667</v>
      </c>
      <c r="J30" s="64">
        <f t="shared" si="2"/>
        <v>0.166666666666666</v>
      </c>
      <c r="K30" s="64">
        <f t="shared" si="3"/>
        <v>-9.71445146547012e-16</v>
      </c>
    </row>
    <row r="31" s="87" customFormat="1" spans="1:11">
      <c r="A31" s="88">
        <v>26</v>
      </c>
      <c r="B31" s="89" t="s">
        <v>14</v>
      </c>
      <c r="C31" s="90">
        <v>0</v>
      </c>
      <c r="D31" s="90">
        <v>0</v>
      </c>
      <c r="E31" s="90">
        <f t="shared" si="0"/>
        <v>0</v>
      </c>
      <c r="F31" s="90">
        <v>0</v>
      </c>
      <c r="G31" s="90">
        <v>0</v>
      </c>
      <c r="H31" s="90">
        <f t="shared" si="1"/>
        <v>0</v>
      </c>
      <c r="I31" s="91">
        <v>0</v>
      </c>
      <c r="J31" s="91">
        <f t="shared" si="2"/>
        <v>0</v>
      </c>
      <c r="K31" s="91">
        <f t="shared" si="3"/>
        <v>0</v>
      </c>
    </row>
    <row r="32" s="77" customFormat="1" spans="1:11">
      <c r="A32" s="48">
        <v>27</v>
      </c>
      <c r="B32" s="49" t="s">
        <v>15</v>
      </c>
      <c r="C32" s="50">
        <v>0.322916666666667</v>
      </c>
      <c r="D32" s="50">
        <v>0.479166666666667</v>
      </c>
      <c r="E32" s="50">
        <f t="shared" si="0"/>
        <v>0.15625</v>
      </c>
      <c r="F32" s="50">
        <v>0.5625</v>
      </c>
      <c r="G32" s="50">
        <v>0.75</v>
      </c>
      <c r="H32" s="50">
        <f t="shared" si="1"/>
        <v>0.1875</v>
      </c>
      <c r="I32" s="64">
        <v>0.333333333333333</v>
      </c>
      <c r="J32" s="64">
        <f t="shared" si="2"/>
        <v>0.34375</v>
      </c>
      <c r="K32" s="64">
        <f t="shared" si="3"/>
        <v>0.010416666666667</v>
      </c>
    </row>
    <row r="33" s="77" customFormat="1" spans="1:11">
      <c r="A33" s="48">
        <v>28</v>
      </c>
      <c r="B33" s="49" t="s">
        <v>16</v>
      </c>
      <c r="C33" s="50">
        <v>0.333333333333333</v>
      </c>
      <c r="D33" s="50">
        <v>0.479166666666667</v>
      </c>
      <c r="E33" s="50">
        <f t="shared" si="0"/>
        <v>0.145833333333334</v>
      </c>
      <c r="F33" s="50">
        <v>0.5625</v>
      </c>
      <c r="G33" s="50">
        <v>0.75</v>
      </c>
      <c r="H33" s="50">
        <f t="shared" si="1"/>
        <v>0.1875</v>
      </c>
      <c r="I33" s="64">
        <v>0.333333333333333</v>
      </c>
      <c r="J33" s="64">
        <f t="shared" si="2"/>
        <v>0.333333333333334</v>
      </c>
      <c r="K33" s="64">
        <f t="shared" si="3"/>
        <v>1.0547118733939e-15</v>
      </c>
    </row>
    <row r="34" s="77" customFormat="1" spans="1:11">
      <c r="A34" s="48">
        <v>29</v>
      </c>
      <c r="B34" s="49" t="s">
        <v>17</v>
      </c>
      <c r="C34" s="50">
        <v>0.333333333333333</v>
      </c>
      <c r="D34" s="50">
        <v>0.479166666666667</v>
      </c>
      <c r="E34" s="50">
        <f t="shared" si="0"/>
        <v>0.145833333333334</v>
      </c>
      <c r="F34" s="50">
        <v>0.5625</v>
      </c>
      <c r="G34" s="50">
        <v>0.75</v>
      </c>
      <c r="H34" s="50">
        <f t="shared" si="1"/>
        <v>0.1875</v>
      </c>
      <c r="I34" s="64">
        <v>0.333333333333333</v>
      </c>
      <c r="J34" s="64">
        <f t="shared" si="2"/>
        <v>0.333333333333334</v>
      </c>
      <c r="K34" s="64">
        <f t="shared" si="3"/>
        <v>1.0547118733939e-15</v>
      </c>
    </row>
    <row r="35" s="77" customFormat="1" spans="1:11">
      <c r="A35" s="48"/>
      <c r="B35" s="49"/>
      <c r="C35" s="50"/>
      <c r="D35" s="50"/>
      <c r="E35" s="50"/>
      <c r="F35" s="50"/>
      <c r="G35" s="50"/>
      <c r="H35" s="50"/>
      <c r="I35" s="64"/>
      <c r="J35" s="64"/>
      <c r="K35" s="64"/>
    </row>
    <row r="36" s="77" customFormat="1" spans="1:11">
      <c r="A36" s="48"/>
      <c r="B36" s="49"/>
      <c r="C36" s="50"/>
      <c r="D36" s="50"/>
      <c r="E36" s="50"/>
      <c r="F36" s="50"/>
      <c r="G36" s="50"/>
      <c r="H36" s="50"/>
      <c r="I36" s="64"/>
      <c r="J36" s="64"/>
      <c r="K36" s="64"/>
    </row>
    <row r="37" spans="1:11">
      <c r="A37" s="48"/>
      <c r="B37" s="48"/>
      <c r="C37" s="50"/>
      <c r="D37" s="50"/>
      <c r="E37" s="50"/>
      <c r="F37" s="50"/>
      <c r="G37" s="50"/>
      <c r="H37" s="50"/>
      <c r="I37" s="64">
        <f>SUM(I6:I36)</f>
        <v>7.16666666666666</v>
      </c>
      <c r="J37" s="64">
        <f>SUM(J6:J36)</f>
        <v>7.01041666666668</v>
      </c>
      <c r="K37" s="64">
        <f>J37-I37</f>
        <v>-0.156249999999985</v>
      </c>
    </row>
    <row r="38" spans="1:11">
      <c r="A38" s="57"/>
      <c r="B38" s="57"/>
      <c r="C38" s="58"/>
      <c r="D38" s="58"/>
      <c r="E38" s="58"/>
      <c r="F38" s="58"/>
      <c r="G38" s="58"/>
      <c r="H38" s="58"/>
      <c r="I38" s="68"/>
      <c r="J38" s="68"/>
      <c r="K38" s="57"/>
    </row>
    <row r="39" spans="1:11">
      <c r="A39" s="59" t="s">
        <v>21</v>
      </c>
      <c r="B39" s="59"/>
      <c r="C39" s="58">
        <f>J37</f>
        <v>7.01041666666668</v>
      </c>
      <c r="D39" s="58"/>
      <c r="E39" s="58"/>
      <c r="F39" s="58"/>
      <c r="G39" s="58"/>
      <c r="H39" s="58"/>
      <c r="I39" s="68"/>
      <c r="J39" s="68"/>
      <c r="K39" s="57"/>
    </row>
    <row r="40" spans="1:11">
      <c r="A40" s="59" t="s">
        <v>22</v>
      </c>
      <c r="B40" s="59"/>
      <c r="C40" s="58">
        <f>I37</f>
        <v>7.16666666666666</v>
      </c>
      <c r="D40" s="60"/>
      <c r="E40" s="60"/>
      <c r="F40" s="60"/>
      <c r="G40" s="60"/>
      <c r="H40" s="60"/>
      <c r="I40" s="57"/>
      <c r="J40" s="57"/>
      <c r="K40" s="57"/>
    </row>
    <row r="41" spans="1:11">
      <c r="A41" s="61"/>
      <c r="B41" s="61"/>
      <c r="C41" s="60"/>
      <c r="D41" s="60"/>
      <c r="E41" s="60"/>
      <c r="F41" s="60"/>
      <c r="G41" s="60"/>
      <c r="H41" s="60"/>
      <c r="I41" s="57"/>
      <c r="J41" s="57"/>
      <c r="K41" s="57"/>
    </row>
    <row r="42" spans="1:11">
      <c r="A42" s="57"/>
      <c r="B42" s="57" t="s">
        <v>13</v>
      </c>
      <c r="C42" s="58">
        <f>C39-C40</f>
        <v>-0.156249999999985</v>
      </c>
      <c r="D42" s="60"/>
      <c r="E42" s="60"/>
      <c r="F42" s="60"/>
      <c r="G42" s="60"/>
      <c r="H42" s="60"/>
      <c r="I42" s="57"/>
      <c r="J42" s="57"/>
      <c r="K42" s="57"/>
    </row>
    <row r="43" spans="1:11">
      <c r="A43" s="57"/>
      <c r="B43" s="57"/>
      <c r="C43" s="60"/>
      <c r="D43" s="60"/>
      <c r="E43" s="60"/>
      <c r="F43" s="60"/>
      <c r="G43" s="60"/>
      <c r="H43" s="60"/>
      <c r="I43" s="57"/>
      <c r="J43" s="57"/>
      <c r="K43" s="57"/>
    </row>
    <row r="44" spans="1:11">
      <c r="A44" s="62" t="s">
        <v>36</v>
      </c>
      <c r="B44" s="62"/>
      <c r="C44" s="62"/>
      <c r="D44" s="62"/>
      <c r="E44" s="62"/>
      <c r="F44" s="62"/>
      <c r="G44" s="62"/>
      <c r="H44" s="62"/>
      <c r="I44" s="62"/>
      <c r="J44" s="62"/>
      <c r="K44" s="57"/>
    </row>
  </sheetData>
  <mergeCells count="10">
    <mergeCell ref="A1:K1"/>
    <mergeCell ref="A2:B2"/>
    <mergeCell ref="C2:K2"/>
    <mergeCell ref="A3:B3"/>
    <mergeCell ref="C3:K3"/>
    <mergeCell ref="C4:E4"/>
    <mergeCell ref="F4:H4"/>
    <mergeCell ref="A39:B39"/>
    <mergeCell ref="A40:B40"/>
    <mergeCell ref="A44:J44"/>
  </mergeCells>
  <pageMargins left="0.511805555555555" right="0.511805555555555" top="0.7875" bottom="0.7875" header="0.511805555555555" footer="0.511805555555555"/>
  <pageSetup paperSize="9" firstPageNumber="0" orientation="portrait" useFirstPageNumber="1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"/>
  <sheetViews>
    <sheetView workbookViewId="0">
      <selection activeCell="A1" sqref="A1:K1"/>
    </sheetView>
  </sheetViews>
  <sheetFormatPr defaultColWidth="9.01904761904762" defaultRowHeight="15"/>
  <cols>
    <col min="1" max="1" width="3.41904761904762" customWidth="1"/>
    <col min="2" max="2" width="13.2857142857143" customWidth="1"/>
  </cols>
  <sheetData>
    <row r="1" spans="1:11">
      <c r="A1" s="71" t="s">
        <v>27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spans="1:11">
      <c r="A2" s="72" t="s">
        <v>1</v>
      </c>
      <c r="B2" s="72"/>
      <c r="C2" s="72" t="s">
        <v>32</v>
      </c>
      <c r="D2" s="72"/>
      <c r="E2" s="72"/>
      <c r="F2" s="72"/>
      <c r="G2" s="72"/>
      <c r="H2" s="72"/>
      <c r="I2" s="72"/>
      <c r="J2" s="72"/>
      <c r="K2" s="72"/>
    </row>
    <row r="3" spans="1:11">
      <c r="A3" s="72" t="s">
        <v>3</v>
      </c>
      <c r="B3" s="72"/>
      <c r="C3" s="73" t="s">
        <v>40</v>
      </c>
      <c r="D3" s="73"/>
      <c r="E3" s="73"/>
      <c r="F3" s="73"/>
      <c r="G3" s="73"/>
      <c r="H3" s="73"/>
      <c r="I3" s="73"/>
      <c r="J3" s="73"/>
      <c r="K3" s="73"/>
    </row>
    <row r="4" spans="1:11">
      <c r="A4" s="74"/>
      <c r="B4" s="74"/>
      <c r="C4" s="75" t="s">
        <v>5</v>
      </c>
      <c r="D4" s="75"/>
      <c r="E4" s="75"/>
      <c r="F4" s="75" t="s">
        <v>6</v>
      </c>
      <c r="G4" s="75"/>
      <c r="H4" s="75"/>
      <c r="I4" s="74"/>
      <c r="J4" s="74"/>
      <c r="K4" s="76"/>
    </row>
    <row r="5" spans="1:11">
      <c r="A5" s="76"/>
      <c r="B5" s="71"/>
      <c r="C5" s="71" t="s">
        <v>7</v>
      </c>
      <c r="D5" s="71" t="s">
        <v>8</v>
      </c>
      <c r="E5" s="71" t="s">
        <v>9</v>
      </c>
      <c r="F5" s="71" t="s">
        <v>7</v>
      </c>
      <c r="G5" s="71" t="s">
        <v>10</v>
      </c>
      <c r="H5" s="71" t="s">
        <v>9</v>
      </c>
      <c r="I5" s="78" t="s">
        <v>11</v>
      </c>
      <c r="J5" s="78" t="s">
        <v>12</v>
      </c>
      <c r="K5" s="71" t="s">
        <v>13</v>
      </c>
    </row>
    <row r="6" spans="1:11">
      <c r="A6" s="48">
        <v>1</v>
      </c>
      <c r="B6" s="49" t="s">
        <v>18</v>
      </c>
      <c r="C6" s="50">
        <v>0.326388888888889</v>
      </c>
      <c r="D6" s="50">
        <v>0.541666666666667</v>
      </c>
      <c r="E6" s="50">
        <f t="shared" ref="E6:E36" si="0">D6-C6</f>
        <v>0.215277777777778</v>
      </c>
      <c r="F6" s="50">
        <v>0.569444444444444</v>
      </c>
      <c r="G6" s="50">
        <v>0.75</v>
      </c>
      <c r="H6" s="50">
        <f t="shared" ref="H6:H36" si="1">G6-F6</f>
        <v>0.180555555555556</v>
      </c>
      <c r="I6" s="64">
        <v>0.333333333333333</v>
      </c>
      <c r="J6" s="64">
        <f t="shared" ref="J6:J36" si="2">E6+H6</f>
        <v>0.395833333333334</v>
      </c>
      <c r="K6" s="64">
        <f t="shared" ref="K6:K37" si="3">J6-I6</f>
        <v>0.062500000000001</v>
      </c>
    </row>
    <row r="7" spans="1:11">
      <c r="A7" s="48">
        <v>2</v>
      </c>
      <c r="B7" s="49" t="s">
        <v>19</v>
      </c>
      <c r="C7" s="50">
        <v>0.326388888888889</v>
      </c>
      <c r="D7" s="50">
        <v>0.479166666666667</v>
      </c>
      <c r="E7" s="50">
        <f t="shared" si="0"/>
        <v>0.152777777777778</v>
      </c>
      <c r="F7" s="50">
        <v>0.5625</v>
      </c>
      <c r="G7" s="50">
        <v>0.75</v>
      </c>
      <c r="H7" s="50">
        <f t="shared" si="1"/>
        <v>0.1875</v>
      </c>
      <c r="I7" s="64">
        <v>0.333333333333333</v>
      </c>
      <c r="J7" s="64">
        <f t="shared" si="2"/>
        <v>0.340277777777778</v>
      </c>
      <c r="K7" s="64">
        <f t="shared" si="3"/>
        <v>0.00694444444444503</v>
      </c>
    </row>
    <row r="8" spans="1:11">
      <c r="A8" s="48">
        <v>3</v>
      </c>
      <c r="B8" s="49" t="s">
        <v>20</v>
      </c>
      <c r="C8" s="50">
        <v>0.319444444444444</v>
      </c>
      <c r="D8" s="50">
        <v>0.538194444444444</v>
      </c>
      <c r="E8" s="50">
        <f t="shared" si="0"/>
        <v>0.21875</v>
      </c>
      <c r="F8" s="50">
        <v>0</v>
      </c>
      <c r="G8" s="50">
        <v>0</v>
      </c>
      <c r="H8" s="50">
        <f t="shared" si="1"/>
        <v>0</v>
      </c>
      <c r="I8" s="64">
        <v>0.166666666666667</v>
      </c>
      <c r="J8" s="64">
        <f t="shared" si="2"/>
        <v>0.21875</v>
      </c>
      <c r="K8" s="64">
        <f t="shared" si="3"/>
        <v>0.052083333333333</v>
      </c>
    </row>
    <row r="9" spans="1:11">
      <c r="A9" s="80">
        <v>4</v>
      </c>
      <c r="B9" s="81" t="s">
        <v>14</v>
      </c>
      <c r="C9" s="82">
        <v>0</v>
      </c>
      <c r="D9" s="82"/>
      <c r="E9" s="82">
        <f t="shared" si="0"/>
        <v>0</v>
      </c>
      <c r="F9" s="82">
        <v>0</v>
      </c>
      <c r="G9" s="82">
        <v>0</v>
      </c>
      <c r="H9" s="82">
        <f t="shared" si="1"/>
        <v>0</v>
      </c>
      <c r="I9" s="85">
        <v>0</v>
      </c>
      <c r="J9" s="85">
        <f t="shared" si="2"/>
        <v>0</v>
      </c>
      <c r="K9" s="85">
        <f t="shared" si="3"/>
        <v>0</v>
      </c>
    </row>
    <row r="10" spans="1:11">
      <c r="A10" s="48">
        <v>5</v>
      </c>
      <c r="B10" s="49" t="s">
        <v>15</v>
      </c>
      <c r="C10" s="50">
        <v>0.326388888888889</v>
      </c>
      <c r="D10" s="50">
        <v>0.479166666666667</v>
      </c>
      <c r="E10" s="50">
        <f t="shared" si="0"/>
        <v>0.152777777777778</v>
      </c>
      <c r="F10" s="50">
        <v>0.5625</v>
      </c>
      <c r="G10" s="50">
        <v>0.75</v>
      </c>
      <c r="H10" s="50">
        <f t="shared" si="1"/>
        <v>0.1875</v>
      </c>
      <c r="I10" s="66">
        <v>0.333333333333333</v>
      </c>
      <c r="J10" s="64">
        <f t="shared" si="2"/>
        <v>0.340277777777778</v>
      </c>
      <c r="K10" s="64">
        <f t="shared" si="3"/>
        <v>0.00694444444444503</v>
      </c>
    </row>
    <row r="11" spans="1:11">
      <c r="A11" s="48">
        <v>6</v>
      </c>
      <c r="B11" s="49" t="s">
        <v>16</v>
      </c>
      <c r="C11" s="50">
        <v>0.333333333333333</v>
      </c>
      <c r="D11" s="50">
        <v>0.479166666666667</v>
      </c>
      <c r="E11" s="50">
        <f t="shared" si="0"/>
        <v>0.145833333333334</v>
      </c>
      <c r="F11" s="50">
        <v>0.5625</v>
      </c>
      <c r="G11" s="50">
        <v>0.75</v>
      </c>
      <c r="H11" s="50">
        <f t="shared" si="1"/>
        <v>0.1875</v>
      </c>
      <c r="I11" s="64">
        <v>0.333333333333333</v>
      </c>
      <c r="J11" s="64">
        <f t="shared" si="2"/>
        <v>0.333333333333334</v>
      </c>
      <c r="K11" s="64">
        <f t="shared" si="3"/>
        <v>1.0547118733939e-15</v>
      </c>
    </row>
    <row r="12" spans="1:11">
      <c r="A12" s="48">
        <v>7</v>
      </c>
      <c r="B12" s="49" t="s">
        <v>17</v>
      </c>
      <c r="C12" s="50">
        <v>0.333333333333333</v>
      </c>
      <c r="D12" s="50">
        <v>0.493055555555556</v>
      </c>
      <c r="E12" s="50">
        <f t="shared" si="0"/>
        <v>0.159722222222223</v>
      </c>
      <c r="F12" s="50">
        <v>0.5625</v>
      </c>
      <c r="G12" s="50">
        <v>0.75</v>
      </c>
      <c r="H12" s="50">
        <f t="shared" si="1"/>
        <v>0.1875</v>
      </c>
      <c r="I12" s="64">
        <v>0.333333333333333</v>
      </c>
      <c r="J12" s="64">
        <f t="shared" si="2"/>
        <v>0.347222222222223</v>
      </c>
      <c r="K12" s="64">
        <f t="shared" si="3"/>
        <v>0.0138888888888901</v>
      </c>
    </row>
    <row r="13" spans="1:11">
      <c r="A13" s="48">
        <v>8</v>
      </c>
      <c r="B13" s="49" t="s">
        <v>18</v>
      </c>
      <c r="C13" s="50">
        <v>0.322916666666667</v>
      </c>
      <c r="D13" s="50">
        <v>0.479166666666667</v>
      </c>
      <c r="E13" s="50">
        <f t="shared" si="0"/>
        <v>0.15625</v>
      </c>
      <c r="F13" s="50">
        <v>0.5625</v>
      </c>
      <c r="G13" s="50">
        <v>0.75</v>
      </c>
      <c r="H13" s="50">
        <f t="shared" si="1"/>
        <v>0.1875</v>
      </c>
      <c r="I13" s="64">
        <v>0.333333333333333</v>
      </c>
      <c r="J13" s="64">
        <f t="shared" si="2"/>
        <v>0.34375</v>
      </c>
      <c r="K13" s="64">
        <f t="shared" si="3"/>
        <v>0.010416666666667</v>
      </c>
    </row>
    <row r="14" spans="1:11">
      <c r="A14" s="48">
        <v>9</v>
      </c>
      <c r="B14" s="49" t="s">
        <v>19</v>
      </c>
      <c r="C14" s="50">
        <v>0.333333333333333</v>
      </c>
      <c r="D14" s="50">
        <v>0.479166666666667</v>
      </c>
      <c r="E14" s="50">
        <f t="shared" si="0"/>
        <v>0.145833333333334</v>
      </c>
      <c r="F14" s="50">
        <v>0.5625</v>
      </c>
      <c r="G14" s="50">
        <v>0.75</v>
      </c>
      <c r="H14" s="50">
        <f t="shared" si="1"/>
        <v>0.1875</v>
      </c>
      <c r="I14" s="64">
        <v>0.333333333333333</v>
      </c>
      <c r="J14" s="64">
        <f t="shared" si="2"/>
        <v>0.333333333333334</v>
      </c>
      <c r="K14" s="64">
        <f t="shared" si="3"/>
        <v>1.0547118733939e-15</v>
      </c>
    </row>
    <row r="15" spans="1:11">
      <c r="A15" s="48">
        <v>10</v>
      </c>
      <c r="B15" s="49" t="s">
        <v>20</v>
      </c>
      <c r="C15" s="50">
        <v>0.322916666666667</v>
      </c>
      <c r="D15" s="50">
        <v>0.53125</v>
      </c>
      <c r="E15" s="50">
        <f t="shared" si="0"/>
        <v>0.208333333333333</v>
      </c>
      <c r="F15" s="50">
        <v>0</v>
      </c>
      <c r="G15" s="50">
        <v>0</v>
      </c>
      <c r="H15" s="50">
        <f t="shared" si="1"/>
        <v>0</v>
      </c>
      <c r="I15" s="64">
        <v>0.166666666666667</v>
      </c>
      <c r="J15" s="64">
        <f t="shared" si="2"/>
        <v>0.208333333333333</v>
      </c>
      <c r="K15" s="64">
        <f t="shared" si="3"/>
        <v>0.041666666666666</v>
      </c>
    </row>
    <row r="16" spans="1:11">
      <c r="A16" s="80">
        <v>11</v>
      </c>
      <c r="B16" s="81" t="s">
        <v>14</v>
      </c>
      <c r="C16" s="82">
        <v>0</v>
      </c>
      <c r="D16" s="82">
        <v>0</v>
      </c>
      <c r="E16" s="82">
        <f t="shared" si="0"/>
        <v>0</v>
      </c>
      <c r="F16" s="82">
        <v>0</v>
      </c>
      <c r="G16" s="82">
        <v>0</v>
      </c>
      <c r="H16" s="82">
        <f t="shared" si="1"/>
        <v>0</v>
      </c>
      <c r="I16" s="85">
        <v>0</v>
      </c>
      <c r="J16" s="85">
        <f t="shared" si="2"/>
        <v>0</v>
      </c>
      <c r="K16" s="85">
        <f t="shared" si="3"/>
        <v>0</v>
      </c>
    </row>
    <row r="17" spans="1:11">
      <c r="A17" s="48">
        <v>12</v>
      </c>
      <c r="B17" s="49" t="s">
        <v>15</v>
      </c>
      <c r="C17" s="50">
        <v>0.350694444444444</v>
      </c>
      <c r="D17" s="50">
        <v>0.5</v>
      </c>
      <c r="E17" s="50">
        <f t="shared" si="0"/>
        <v>0.149305555555556</v>
      </c>
      <c r="F17" s="50">
        <v>0.5625</v>
      </c>
      <c r="G17" s="50">
        <v>0.75</v>
      </c>
      <c r="H17" s="50">
        <f t="shared" si="1"/>
        <v>0.1875</v>
      </c>
      <c r="I17" s="66">
        <v>0.333333333333333</v>
      </c>
      <c r="J17" s="64">
        <f t="shared" si="2"/>
        <v>0.336805555555556</v>
      </c>
      <c r="K17" s="64">
        <f t="shared" si="3"/>
        <v>0.00347222222222304</v>
      </c>
    </row>
    <row r="18" spans="1:11">
      <c r="A18" s="48">
        <v>13</v>
      </c>
      <c r="B18" s="49" t="s">
        <v>16</v>
      </c>
      <c r="C18" s="50">
        <v>0.319444444444444</v>
      </c>
      <c r="D18" s="50">
        <v>0.479166666666667</v>
      </c>
      <c r="E18" s="50">
        <f t="shared" si="0"/>
        <v>0.159722222222223</v>
      </c>
      <c r="F18" s="50">
        <v>0.5625</v>
      </c>
      <c r="G18" s="50">
        <v>0.75</v>
      </c>
      <c r="H18" s="50">
        <f t="shared" si="1"/>
        <v>0.1875</v>
      </c>
      <c r="I18" s="64">
        <v>0.333333333333333</v>
      </c>
      <c r="J18" s="64">
        <f t="shared" si="2"/>
        <v>0.347222222222223</v>
      </c>
      <c r="K18" s="64">
        <f t="shared" si="3"/>
        <v>0.0138888888888901</v>
      </c>
    </row>
    <row r="19" spans="1:11">
      <c r="A19" s="48">
        <v>14</v>
      </c>
      <c r="B19" s="49" t="s">
        <v>17</v>
      </c>
      <c r="C19" s="50">
        <v>0.326388888888889</v>
      </c>
      <c r="D19" s="50">
        <v>0.493055555555556</v>
      </c>
      <c r="E19" s="50">
        <f t="shared" si="0"/>
        <v>0.166666666666667</v>
      </c>
      <c r="F19" s="50">
        <v>0.5625</v>
      </c>
      <c r="G19" s="50">
        <v>0.75</v>
      </c>
      <c r="H19" s="50">
        <f t="shared" si="1"/>
        <v>0.1875</v>
      </c>
      <c r="I19" s="64">
        <v>0.333333333333333</v>
      </c>
      <c r="J19" s="64">
        <f t="shared" si="2"/>
        <v>0.354166666666667</v>
      </c>
      <c r="K19" s="64">
        <f t="shared" si="3"/>
        <v>0.020833333333334</v>
      </c>
    </row>
    <row r="20" spans="1:11">
      <c r="A20" s="48">
        <v>15</v>
      </c>
      <c r="B20" s="49" t="s">
        <v>18</v>
      </c>
      <c r="C20" s="50">
        <v>0.319444444444444</v>
      </c>
      <c r="D20" s="50">
        <v>0.479166666666667</v>
      </c>
      <c r="E20" s="50">
        <f t="shared" si="0"/>
        <v>0.159722222222223</v>
      </c>
      <c r="F20" s="50">
        <v>0.565972222222222</v>
      </c>
      <c r="G20" s="50">
        <v>0.75</v>
      </c>
      <c r="H20" s="50">
        <f t="shared" si="1"/>
        <v>0.184027777777778</v>
      </c>
      <c r="I20" s="64">
        <v>0.333333333333333</v>
      </c>
      <c r="J20" s="64">
        <f t="shared" si="2"/>
        <v>0.343750000000001</v>
      </c>
      <c r="K20" s="64">
        <f t="shared" si="3"/>
        <v>0.0104166666666681</v>
      </c>
    </row>
    <row r="21" spans="1:11">
      <c r="A21" s="48">
        <v>16</v>
      </c>
      <c r="B21" s="49" t="s">
        <v>19</v>
      </c>
      <c r="C21" s="50">
        <v>0.333333333333333</v>
      </c>
      <c r="D21" s="50">
        <v>0.5</v>
      </c>
      <c r="E21" s="50">
        <f t="shared" si="0"/>
        <v>0.166666666666667</v>
      </c>
      <c r="F21" s="50">
        <v>0.572916666666667</v>
      </c>
      <c r="G21" s="50">
        <v>0.75</v>
      </c>
      <c r="H21" s="50">
        <f t="shared" si="1"/>
        <v>0.177083333333333</v>
      </c>
      <c r="I21" s="64">
        <v>0.333333333333333</v>
      </c>
      <c r="J21" s="64">
        <f t="shared" si="2"/>
        <v>0.34375</v>
      </c>
      <c r="K21" s="64">
        <f t="shared" si="3"/>
        <v>0.0104166666666671</v>
      </c>
    </row>
    <row r="22" spans="1:11">
      <c r="A22" s="48">
        <v>17</v>
      </c>
      <c r="B22" s="49" t="s">
        <v>20</v>
      </c>
      <c r="C22" s="50">
        <v>0.333333333333333</v>
      </c>
      <c r="D22" s="50">
        <v>0.479166666666667</v>
      </c>
      <c r="E22" s="50">
        <f t="shared" si="0"/>
        <v>0.145833333333334</v>
      </c>
      <c r="F22" s="50">
        <v>0</v>
      </c>
      <c r="G22" s="50">
        <v>0</v>
      </c>
      <c r="H22" s="50">
        <f t="shared" si="1"/>
        <v>0</v>
      </c>
      <c r="I22" s="64">
        <v>0.166666666666667</v>
      </c>
      <c r="J22" s="64">
        <f t="shared" si="2"/>
        <v>0.145833333333334</v>
      </c>
      <c r="K22" s="64">
        <f t="shared" si="3"/>
        <v>-0.020833333333333</v>
      </c>
    </row>
    <row r="23" spans="1:11">
      <c r="A23" s="80">
        <v>18</v>
      </c>
      <c r="B23" s="81" t="s">
        <v>14</v>
      </c>
      <c r="C23" s="82">
        <v>0</v>
      </c>
      <c r="D23" s="82">
        <v>0</v>
      </c>
      <c r="E23" s="82">
        <f t="shared" si="0"/>
        <v>0</v>
      </c>
      <c r="F23" s="82">
        <v>0</v>
      </c>
      <c r="G23" s="82">
        <v>0</v>
      </c>
      <c r="H23" s="82">
        <f t="shared" si="1"/>
        <v>0</v>
      </c>
      <c r="I23" s="85">
        <v>0</v>
      </c>
      <c r="J23" s="85">
        <f t="shared" si="2"/>
        <v>0</v>
      </c>
      <c r="K23" s="85">
        <f t="shared" si="3"/>
        <v>0</v>
      </c>
    </row>
    <row r="24" spans="1:11">
      <c r="A24" s="48">
        <v>19</v>
      </c>
      <c r="B24" s="49" t="s">
        <v>15</v>
      </c>
      <c r="C24" s="50">
        <v>0.322916666666667</v>
      </c>
      <c r="D24" s="50">
        <v>0.5</v>
      </c>
      <c r="E24" s="50">
        <f t="shared" si="0"/>
        <v>0.177083333333333</v>
      </c>
      <c r="F24" s="50">
        <v>0.569444444444444</v>
      </c>
      <c r="G24" s="50">
        <v>0.75</v>
      </c>
      <c r="H24" s="50">
        <f t="shared" si="1"/>
        <v>0.180555555555556</v>
      </c>
      <c r="I24" s="66">
        <v>0.333333333333333</v>
      </c>
      <c r="J24" s="64">
        <f t="shared" si="2"/>
        <v>0.357638888888889</v>
      </c>
      <c r="K24" s="64">
        <f t="shared" si="3"/>
        <v>0.024305555555556</v>
      </c>
    </row>
    <row r="25" spans="1:11">
      <c r="A25" s="48">
        <v>20</v>
      </c>
      <c r="B25" s="49" t="s">
        <v>16</v>
      </c>
      <c r="C25" s="50">
        <v>0.3125</v>
      </c>
      <c r="D25" s="50">
        <v>0.479166666666667</v>
      </c>
      <c r="E25" s="50">
        <f t="shared" si="0"/>
        <v>0.166666666666667</v>
      </c>
      <c r="F25" s="50">
        <v>0.576388888888889</v>
      </c>
      <c r="G25" s="50">
        <v>0.75</v>
      </c>
      <c r="H25" s="50">
        <f t="shared" si="1"/>
        <v>0.173611111111111</v>
      </c>
      <c r="I25" s="64">
        <v>0.333333333333333</v>
      </c>
      <c r="J25" s="64">
        <f t="shared" si="2"/>
        <v>0.340277777777778</v>
      </c>
      <c r="K25" s="64">
        <f t="shared" si="3"/>
        <v>0.00694444444444509</v>
      </c>
    </row>
    <row r="26" spans="1:11">
      <c r="A26" s="48">
        <v>21</v>
      </c>
      <c r="B26" s="49" t="s">
        <v>17</v>
      </c>
      <c r="C26" s="50">
        <v>0.326388888888889</v>
      </c>
      <c r="D26" s="50">
        <v>0.479166666666667</v>
      </c>
      <c r="E26" s="50">
        <f t="shared" si="0"/>
        <v>0.152777777777778</v>
      </c>
      <c r="F26" s="50">
        <v>0.569444444444444</v>
      </c>
      <c r="G26" s="50">
        <v>0.75</v>
      </c>
      <c r="H26" s="50">
        <f t="shared" si="1"/>
        <v>0.180555555555556</v>
      </c>
      <c r="I26" s="64">
        <v>0.333333333333333</v>
      </c>
      <c r="J26" s="64">
        <f t="shared" si="2"/>
        <v>0.333333333333334</v>
      </c>
      <c r="K26" s="64">
        <f t="shared" si="3"/>
        <v>1.0547118733939e-15</v>
      </c>
    </row>
    <row r="27" spans="1:11">
      <c r="A27" s="48">
        <v>22</v>
      </c>
      <c r="B27" s="49" t="s">
        <v>18</v>
      </c>
      <c r="C27" s="50">
        <v>0.322916666666667</v>
      </c>
      <c r="D27" s="50">
        <v>0.527777777777778</v>
      </c>
      <c r="E27" s="50">
        <f t="shared" si="0"/>
        <v>0.204861111111111</v>
      </c>
      <c r="F27" s="50">
        <v>0.590277777777778</v>
      </c>
      <c r="G27" s="50">
        <v>0.75</v>
      </c>
      <c r="H27" s="50">
        <f t="shared" si="1"/>
        <v>0.159722222222222</v>
      </c>
      <c r="I27" s="64">
        <v>0.333333333333333</v>
      </c>
      <c r="J27" s="64">
        <f t="shared" si="2"/>
        <v>0.364583333333333</v>
      </c>
      <c r="K27" s="64">
        <f t="shared" si="3"/>
        <v>0.03125</v>
      </c>
    </row>
    <row r="28" spans="1:11">
      <c r="A28" s="48">
        <v>23</v>
      </c>
      <c r="B28" s="49" t="s">
        <v>19</v>
      </c>
      <c r="C28" s="50">
        <v>0.326388888888889</v>
      </c>
      <c r="D28" s="50">
        <v>0.479166666666667</v>
      </c>
      <c r="E28" s="50">
        <f t="shared" si="0"/>
        <v>0.152777777777778</v>
      </c>
      <c r="F28" s="50">
        <v>0.5625</v>
      </c>
      <c r="G28" s="50">
        <v>0.75</v>
      </c>
      <c r="H28" s="50">
        <f t="shared" si="1"/>
        <v>0.1875</v>
      </c>
      <c r="I28" s="64">
        <v>0.333333333333333</v>
      </c>
      <c r="J28" s="64">
        <f t="shared" si="2"/>
        <v>0.340277777777778</v>
      </c>
      <c r="K28" s="64">
        <f t="shared" si="3"/>
        <v>0.00694444444444503</v>
      </c>
    </row>
    <row r="29" spans="1:11">
      <c r="A29" s="48">
        <v>24</v>
      </c>
      <c r="B29" s="49" t="s">
        <v>20</v>
      </c>
      <c r="C29" s="50">
        <v>0.333333333333333</v>
      </c>
      <c r="D29" s="50">
        <v>0.479166666666667</v>
      </c>
      <c r="E29" s="50">
        <f t="shared" si="0"/>
        <v>0.145833333333334</v>
      </c>
      <c r="F29" s="50">
        <v>0</v>
      </c>
      <c r="G29" s="50">
        <v>0</v>
      </c>
      <c r="H29" s="50">
        <f t="shared" si="1"/>
        <v>0</v>
      </c>
      <c r="I29" s="64">
        <v>0.166666666666667</v>
      </c>
      <c r="J29" s="64">
        <f t="shared" si="2"/>
        <v>0.145833333333334</v>
      </c>
      <c r="K29" s="64">
        <f t="shared" si="3"/>
        <v>-0.020833333333333</v>
      </c>
    </row>
    <row r="30" spans="1:11">
      <c r="A30" s="80">
        <v>25</v>
      </c>
      <c r="B30" s="81" t="s">
        <v>14</v>
      </c>
      <c r="C30" s="82">
        <v>0</v>
      </c>
      <c r="D30" s="82">
        <v>0</v>
      </c>
      <c r="E30" s="82">
        <f t="shared" si="0"/>
        <v>0</v>
      </c>
      <c r="F30" s="82">
        <v>0</v>
      </c>
      <c r="G30" s="82">
        <v>0</v>
      </c>
      <c r="H30" s="82">
        <f t="shared" si="1"/>
        <v>0</v>
      </c>
      <c r="I30" s="85">
        <v>0</v>
      </c>
      <c r="J30" s="85">
        <f t="shared" si="2"/>
        <v>0</v>
      </c>
      <c r="K30" s="85">
        <f t="shared" si="3"/>
        <v>0</v>
      </c>
    </row>
    <row r="31" spans="1:11">
      <c r="A31" s="48">
        <v>26</v>
      </c>
      <c r="B31" s="49" t="s">
        <v>15</v>
      </c>
      <c r="C31" s="50">
        <v>0.319444444444444</v>
      </c>
      <c r="D31" s="50">
        <v>0.493055555555556</v>
      </c>
      <c r="E31" s="50">
        <f t="shared" si="0"/>
        <v>0.173611111111112</v>
      </c>
      <c r="F31" s="50">
        <v>0.572916666666667</v>
      </c>
      <c r="G31" s="50">
        <v>0.75</v>
      </c>
      <c r="H31" s="50">
        <f t="shared" si="1"/>
        <v>0.177083333333333</v>
      </c>
      <c r="I31" s="66">
        <v>0.333333333333333</v>
      </c>
      <c r="J31" s="64">
        <f t="shared" si="2"/>
        <v>0.350694444444445</v>
      </c>
      <c r="K31" s="64">
        <f t="shared" si="3"/>
        <v>0.0173611111111121</v>
      </c>
    </row>
    <row r="32" spans="1:11">
      <c r="A32" s="48">
        <v>27</v>
      </c>
      <c r="B32" s="49" t="s">
        <v>16</v>
      </c>
      <c r="C32" s="50">
        <v>0.333333333333333</v>
      </c>
      <c r="D32" s="50">
        <v>0.5</v>
      </c>
      <c r="E32" s="50">
        <f t="shared" si="0"/>
        <v>0.166666666666667</v>
      </c>
      <c r="F32" s="50">
        <v>0.5625</v>
      </c>
      <c r="G32" s="50">
        <v>0.75</v>
      </c>
      <c r="H32" s="50">
        <f t="shared" si="1"/>
        <v>0.1875</v>
      </c>
      <c r="I32" s="64">
        <v>0.333333333333333</v>
      </c>
      <c r="J32" s="64">
        <f t="shared" si="2"/>
        <v>0.354166666666667</v>
      </c>
      <c r="K32" s="64">
        <f t="shared" si="3"/>
        <v>0.020833333333334</v>
      </c>
    </row>
    <row r="33" spans="1:11">
      <c r="A33" s="48">
        <v>28</v>
      </c>
      <c r="B33" s="49" t="s">
        <v>17</v>
      </c>
      <c r="C33" s="50">
        <v>0.322916666666667</v>
      </c>
      <c r="D33" s="50">
        <v>0.495138888888889</v>
      </c>
      <c r="E33" s="50">
        <f t="shared" si="0"/>
        <v>0.172222222222222</v>
      </c>
      <c r="F33" s="50">
        <v>0</v>
      </c>
      <c r="G33" s="50">
        <v>0</v>
      </c>
      <c r="H33" s="50">
        <f t="shared" si="1"/>
        <v>0</v>
      </c>
      <c r="I33" s="64">
        <v>0.333333333333333</v>
      </c>
      <c r="J33" s="64">
        <f t="shared" si="2"/>
        <v>0.172222222222222</v>
      </c>
      <c r="K33" s="64">
        <f t="shared" si="3"/>
        <v>-0.161111111111111</v>
      </c>
    </row>
    <row r="34" spans="1:11">
      <c r="A34" s="48">
        <v>29</v>
      </c>
      <c r="B34" s="49" t="s">
        <v>18</v>
      </c>
      <c r="C34" s="50">
        <v>0.333333333333333</v>
      </c>
      <c r="D34" s="50">
        <v>0.479166666666667</v>
      </c>
      <c r="E34" s="50">
        <f t="shared" si="0"/>
        <v>0.145833333333334</v>
      </c>
      <c r="F34" s="50">
        <v>0.5625</v>
      </c>
      <c r="G34" s="50">
        <v>0.75</v>
      </c>
      <c r="H34" s="50">
        <f t="shared" si="1"/>
        <v>0.1875</v>
      </c>
      <c r="I34" s="64">
        <v>0.333333333333333</v>
      </c>
      <c r="J34" s="64">
        <f t="shared" si="2"/>
        <v>0.333333333333334</v>
      </c>
      <c r="K34" s="64">
        <f t="shared" si="3"/>
        <v>1.0547118733939e-15</v>
      </c>
    </row>
    <row r="35" spans="1:11">
      <c r="A35" s="48">
        <v>30</v>
      </c>
      <c r="B35" s="49" t="s">
        <v>19</v>
      </c>
      <c r="C35" s="50">
        <v>0.333333333333333</v>
      </c>
      <c r="D35" s="50">
        <v>0.489583333333333</v>
      </c>
      <c r="E35" s="50">
        <f t="shared" si="0"/>
        <v>0.15625</v>
      </c>
      <c r="F35" s="50">
        <v>0.5625</v>
      </c>
      <c r="G35" s="50">
        <v>0.75</v>
      </c>
      <c r="H35" s="50">
        <f t="shared" si="1"/>
        <v>0.1875</v>
      </c>
      <c r="I35" s="64">
        <v>0.333333333333333</v>
      </c>
      <c r="J35" s="64">
        <f t="shared" si="2"/>
        <v>0.34375</v>
      </c>
      <c r="K35" s="64">
        <f t="shared" si="3"/>
        <v>0.010416666666667</v>
      </c>
    </row>
    <row r="36" spans="1:11">
      <c r="A36" s="48">
        <v>31</v>
      </c>
      <c r="B36" s="49" t="s">
        <v>20</v>
      </c>
      <c r="C36" s="50">
        <v>0.333333333333333</v>
      </c>
      <c r="D36" s="50">
        <v>0.479166666666667</v>
      </c>
      <c r="E36" s="50">
        <f t="shared" si="0"/>
        <v>0.145833333333334</v>
      </c>
      <c r="F36" s="50">
        <v>0</v>
      </c>
      <c r="G36" s="50">
        <v>0</v>
      </c>
      <c r="H36" s="50">
        <f t="shared" si="1"/>
        <v>0</v>
      </c>
      <c r="I36" s="64">
        <v>0.166666666666667</v>
      </c>
      <c r="J36" s="64">
        <f t="shared" si="2"/>
        <v>0.145833333333334</v>
      </c>
      <c r="K36" s="64">
        <f t="shared" si="3"/>
        <v>-0.020833333333333</v>
      </c>
    </row>
    <row r="37" spans="1:11">
      <c r="A37" s="48"/>
      <c r="B37" s="48"/>
      <c r="C37" s="50"/>
      <c r="D37" s="50"/>
      <c r="E37" s="50"/>
      <c r="F37" s="50"/>
      <c r="G37" s="50"/>
      <c r="H37" s="50"/>
      <c r="I37" s="64">
        <f>SUM(I6:I36)</f>
        <v>8.16666666666666</v>
      </c>
      <c r="J37" s="64">
        <f>SUM(J6:J36)</f>
        <v>8.31458333333334</v>
      </c>
      <c r="K37" s="64">
        <f t="shared" si="3"/>
        <v>0.147916666666681</v>
      </c>
    </row>
    <row r="38" spans="1:11">
      <c r="A38" s="57"/>
      <c r="B38" s="57"/>
      <c r="C38" s="58"/>
      <c r="D38" s="58"/>
      <c r="E38" s="58"/>
      <c r="F38" s="58"/>
      <c r="G38" s="58"/>
      <c r="H38" s="58"/>
      <c r="I38" s="68"/>
      <c r="J38" s="68"/>
      <c r="K38" s="57"/>
    </row>
    <row r="39" spans="1:11">
      <c r="A39" s="59" t="s">
        <v>21</v>
      </c>
      <c r="B39" s="59"/>
      <c r="C39" s="58">
        <f>J37</f>
        <v>8.31458333333334</v>
      </c>
      <c r="D39" s="58"/>
      <c r="E39" s="58"/>
      <c r="F39" s="58"/>
      <c r="G39" s="58"/>
      <c r="H39" s="58"/>
      <c r="I39" s="68"/>
      <c r="J39" s="68"/>
      <c r="K39" s="57">
        <v>5.46</v>
      </c>
    </row>
    <row r="40" spans="1:11">
      <c r="A40" s="59" t="s">
        <v>22</v>
      </c>
      <c r="B40" s="59"/>
      <c r="C40" s="58">
        <f>I37</f>
        <v>8.16666666666666</v>
      </c>
      <c r="D40" s="60"/>
      <c r="E40" s="60"/>
      <c r="F40" s="60"/>
      <c r="G40" s="60"/>
      <c r="H40" s="60"/>
      <c r="I40" s="57"/>
      <c r="J40" s="57"/>
      <c r="K40" s="57"/>
    </row>
    <row r="41" spans="1:11">
      <c r="A41" s="61"/>
      <c r="B41" s="61"/>
      <c r="C41" s="60"/>
      <c r="D41" s="60"/>
      <c r="E41" s="60"/>
      <c r="F41" s="60"/>
      <c r="G41" s="60"/>
      <c r="H41" s="60"/>
      <c r="I41" s="57"/>
      <c r="J41" s="57"/>
      <c r="K41" s="57"/>
    </row>
    <row r="42" spans="1:11">
      <c r="A42" s="57"/>
      <c r="B42" s="57" t="s">
        <v>13</v>
      </c>
      <c r="C42" s="58">
        <f>C39-C40</f>
        <v>0.147916666666681</v>
      </c>
      <c r="D42" s="60"/>
      <c r="E42" s="60"/>
      <c r="F42" s="60"/>
      <c r="G42" s="60"/>
      <c r="H42" s="60"/>
      <c r="I42" s="57"/>
      <c r="J42" s="57"/>
      <c r="K42" s="57"/>
    </row>
    <row r="43" spans="1:11">
      <c r="A43" s="57"/>
      <c r="B43" s="57"/>
      <c r="C43" s="60"/>
      <c r="D43" s="60"/>
      <c r="E43" s="60"/>
      <c r="F43" s="60"/>
      <c r="G43" s="60"/>
      <c r="H43" s="60"/>
      <c r="I43" s="57"/>
      <c r="J43" s="57"/>
      <c r="K43" s="57"/>
    </row>
    <row r="44" spans="1:11">
      <c r="A44" s="62" t="s">
        <v>36</v>
      </c>
      <c r="B44" s="62"/>
      <c r="C44" s="62"/>
      <c r="D44" s="62"/>
      <c r="E44" s="62"/>
      <c r="F44" s="62"/>
      <c r="G44" s="62"/>
      <c r="H44" s="62"/>
      <c r="I44" s="62"/>
      <c r="J44" s="62"/>
      <c r="K44" s="57"/>
    </row>
  </sheetData>
  <mergeCells count="10">
    <mergeCell ref="A1:K1"/>
    <mergeCell ref="A2:B2"/>
    <mergeCell ref="C2:K2"/>
    <mergeCell ref="A3:B3"/>
    <mergeCell ref="C3:K3"/>
    <mergeCell ref="C4:E4"/>
    <mergeCell ref="F4:H4"/>
    <mergeCell ref="A39:B39"/>
    <mergeCell ref="A40:B40"/>
    <mergeCell ref="A44:J44"/>
  </mergeCells>
  <pageMargins left="0.511805555555555" right="0.511805555555555" top="0.7875" bottom="0.7875" header="0.511805555555555" footer="0.511805555555555"/>
  <pageSetup paperSize="9" firstPageNumber="0" orientation="portrait" useFirstPageNumber="1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"/>
  <sheetViews>
    <sheetView workbookViewId="0">
      <selection activeCell="K45" sqref="K45"/>
    </sheetView>
  </sheetViews>
  <sheetFormatPr defaultColWidth="9.01904761904762" defaultRowHeight="15"/>
  <cols>
    <col min="1" max="1" width="2.99047619047619" customWidth="1"/>
    <col min="2" max="2" width="12.8571428571429" customWidth="1"/>
    <col min="4" max="4" width="7.86666666666667" customWidth="1"/>
    <col min="5" max="5" width="8.14285714285714" customWidth="1"/>
    <col min="6" max="6" width="7.57142857142857" customWidth="1"/>
    <col min="7" max="7" width="7.71428571428571" customWidth="1"/>
    <col min="8" max="8" width="7.40952380952381" customWidth="1"/>
    <col min="9" max="9" width="9.41904761904762" customWidth="1"/>
    <col min="10" max="10" width="10.2857142857143" customWidth="1"/>
    <col min="11" max="11" width="9.41904761904762" customWidth="1"/>
  </cols>
  <sheetData>
    <row r="1" spans="1:11">
      <c r="A1" s="71" t="s">
        <v>27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spans="1:11">
      <c r="A2" s="72" t="s">
        <v>1</v>
      </c>
      <c r="B2" s="72"/>
      <c r="C2" s="72" t="s">
        <v>32</v>
      </c>
      <c r="D2" s="72"/>
      <c r="E2" s="72"/>
      <c r="F2" s="72"/>
      <c r="G2" s="72"/>
      <c r="H2" s="72"/>
      <c r="I2" s="72"/>
      <c r="J2" s="72"/>
      <c r="K2" s="72"/>
    </row>
    <row r="3" spans="1:11">
      <c r="A3" s="72" t="s">
        <v>3</v>
      </c>
      <c r="B3" s="72"/>
      <c r="C3" s="73" t="s">
        <v>41</v>
      </c>
      <c r="D3" s="73"/>
      <c r="E3" s="73"/>
      <c r="F3" s="73"/>
      <c r="G3" s="73"/>
      <c r="H3" s="73"/>
      <c r="I3" s="73"/>
      <c r="J3" s="73"/>
      <c r="K3" s="73"/>
    </row>
    <row r="4" spans="1:11">
      <c r="A4" s="74"/>
      <c r="B4" s="74"/>
      <c r="C4" s="75" t="s">
        <v>5</v>
      </c>
      <c r="D4" s="75"/>
      <c r="E4" s="75"/>
      <c r="F4" s="75" t="s">
        <v>6</v>
      </c>
      <c r="G4" s="75"/>
      <c r="H4" s="75"/>
      <c r="I4" s="74"/>
      <c r="J4" s="74"/>
      <c r="K4" s="76"/>
    </row>
    <row r="5" spans="1:11">
      <c r="A5" s="76"/>
      <c r="B5" s="71"/>
      <c r="C5" s="71" t="s">
        <v>7</v>
      </c>
      <c r="D5" s="71" t="s">
        <v>8</v>
      </c>
      <c r="E5" s="71" t="s">
        <v>9</v>
      </c>
      <c r="F5" s="71" t="s">
        <v>7</v>
      </c>
      <c r="G5" s="71" t="s">
        <v>10</v>
      </c>
      <c r="H5" s="71" t="s">
        <v>9</v>
      </c>
      <c r="I5" s="78" t="s">
        <v>11</v>
      </c>
      <c r="J5" s="78" t="s">
        <v>12</v>
      </c>
      <c r="K5" s="71" t="s">
        <v>13</v>
      </c>
    </row>
    <row r="6" spans="1:11">
      <c r="A6" s="80">
        <v>1</v>
      </c>
      <c r="B6" s="81" t="s">
        <v>14</v>
      </c>
      <c r="C6" s="82">
        <v>0</v>
      </c>
      <c r="D6" s="82">
        <v>0</v>
      </c>
      <c r="E6" s="82">
        <f t="shared" ref="E6:E35" si="0">D6-C6</f>
        <v>0</v>
      </c>
      <c r="F6" s="82">
        <v>0</v>
      </c>
      <c r="G6" s="82">
        <v>0</v>
      </c>
      <c r="H6" s="83">
        <f t="shared" ref="H6:H35" si="1">G6-F6</f>
        <v>0</v>
      </c>
      <c r="I6" s="85">
        <v>0</v>
      </c>
      <c r="J6" s="85">
        <f t="shared" ref="J6:J35" si="2">E6+H6</f>
        <v>0</v>
      </c>
      <c r="K6" s="85">
        <f t="shared" ref="K6:K35" si="3">J6-I6</f>
        <v>0</v>
      </c>
    </row>
    <row r="7" spans="1:11">
      <c r="A7" s="48">
        <v>2</v>
      </c>
      <c r="B7" s="49" t="s">
        <v>15</v>
      </c>
      <c r="C7" s="50">
        <v>0.333333333333333</v>
      </c>
      <c r="D7" s="50">
        <v>0.520833333333333</v>
      </c>
      <c r="E7" s="50">
        <f t="shared" si="0"/>
        <v>0.1875</v>
      </c>
      <c r="F7" s="50">
        <v>0.5625</v>
      </c>
      <c r="G7" s="50">
        <v>0.75</v>
      </c>
      <c r="H7" s="84">
        <f t="shared" si="1"/>
        <v>0.1875</v>
      </c>
      <c r="I7" s="64">
        <v>0.333333333333333</v>
      </c>
      <c r="J7" s="64">
        <f t="shared" si="2"/>
        <v>0.375</v>
      </c>
      <c r="K7" s="64">
        <f t="shared" si="3"/>
        <v>0.0416666666666671</v>
      </c>
    </row>
    <row r="8" spans="1:11">
      <c r="A8" s="48">
        <v>3</v>
      </c>
      <c r="B8" s="49" t="s">
        <v>16</v>
      </c>
      <c r="C8" s="50">
        <v>0.322916666666667</v>
      </c>
      <c r="D8" s="50">
        <v>0.479166666666667</v>
      </c>
      <c r="E8" s="50">
        <f t="shared" si="0"/>
        <v>0.15625</v>
      </c>
      <c r="F8" s="50">
        <v>0.5625</v>
      </c>
      <c r="G8" s="50">
        <v>0.75</v>
      </c>
      <c r="H8" s="84">
        <f t="shared" si="1"/>
        <v>0.1875</v>
      </c>
      <c r="I8" s="64">
        <v>0.333333333333333</v>
      </c>
      <c r="J8" s="64">
        <f t="shared" si="2"/>
        <v>0.34375</v>
      </c>
      <c r="K8" s="64">
        <f t="shared" si="3"/>
        <v>0.010416666666667</v>
      </c>
    </row>
    <row r="9" spans="1:11">
      <c r="A9" s="48">
        <v>4</v>
      </c>
      <c r="B9" s="49" t="s">
        <v>17</v>
      </c>
      <c r="C9" s="50">
        <v>0.333333333333333</v>
      </c>
      <c r="D9" s="50">
        <v>0.479166666666667</v>
      </c>
      <c r="E9" s="50">
        <f t="shared" si="0"/>
        <v>0.145833333333334</v>
      </c>
      <c r="F9" s="50">
        <v>0.5625</v>
      </c>
      <c r="G9" s="50">
        <v>0.75</v>
      </c>
      <c r="H9" s="84">
        <f t="shared" si="1"/>
        <v>0.1875</v>
      </c>
      <c r="I9" s="64">
        <v>0.333333333333333</v>
      </c>
      <c r="J9" s="64">
        <f t="shared" si="2"/>
        <v>0.333333333333334</v>
      </c>
      <c r="K9" s="64">
        <f t="shared" si="3"/>
        <v>1.0547118733939e-15</v>
      </c>
    </row>
    <row r="10" spans="1:11">
      <c r="A10" s="48">
        <v>5</v>
      </c>
      <c r="B10" s="49" t="s">
        <v>18</v>
      </c>
      <c r="C10" s="50">
        <v>0.333333333333333</v>
      </c>
      <c r="D10" s="50">
        <v>0.479166666666667</v>
      </c>
      <c r="E10" s="50">
        <f t="shared" si="0"/>
        <v>0.145833333333334</v>
      </c>
      <c r="F10" s="50">
        <v>0.5625</v>
      </c>
      <c r="G10" s="50">
        <v>0.75</v>
      </c>
      <c r="H10" s="84">
        <f t="shared" si="1"/>
        <v>0.1875</v>
      </c>
      <c r="I10" s="66">
        <v>0.333333333333333</v>
      </c>
      <c r="J10" s="64">
        <f t="shared" si="2"/>
        <v>0.333333333333334</v>
      </c>
      <c r="K10" s="64">
        <f t="shared" si="3"/>
        <v>1.0547118733939e-15</v>
      </c>
    </row>
    <row r="11" spans="1:11">
      <c r="A11" s="80">
        <v>6</v>
      </c>
      <c r="B11" s="81" t="s">
        <v>19</v>
      </c>
      <c r="C11" s="82">
        <v>0</v>
      </c>
      <c r="D11" s="82">
        <v>0</v>
      </c>
      <c r="E11" s="82">
        <f t="shared" si="0"/>
        <v>0</v>
      </c>
      <c r="F11" s="82">
        <v>0</v>
      </c>
      <c r="G11" s="82">
        <v>0</v>
      </c>
      <c r="H11" s="82">
        <f t="shared" si="1"/>
        <v>0</v>
      </c>
      <c r="I11" s="85">
        <v>0</v>
      </c>
      <c r="J11" s="85">
        <f t="shared" si="2"/>
        <v>0</v>
      </c>
      <c r="K11" s="85">
        <f t="shared" si="3"/>
        <v>0</v>
      </c>
    </row>
    <row r="12" spans="1:11">
      <c r="A12" s="48">
        <v>7</v>
      </c>
      <c r="B12" s="49" t="s">
        <v>20</v>
      </c>
      <c r="C12" s="50">
        <v>0.333333333333333</v>
      </c>
      <c r="D12" s="50">
        <v>0.479166666666667</v>
      </c>
      <c r="E12" s="50">
        <f t="shared" si="0"/>
        <v>0.145833333333334</v>
      </c>
      <c r="F12" s="50">
        <v>0</v>
      </c>
      <c r="G12" s="50">
        <v>0</v>
      </c>
      <c r="H12" s="84">
        <f t="shared" si="1"/>
        <v>0</v>
      </c>
      <c r="I12" s="64">
        <v>0.166666666666667</v>
      </c>
      <c r="J12" s="64">
        <f t="shared" si="2"/>
        <v>0.145833333333334</v>
      </c>
      <c r="K12" s="64">
        <f t="shared" si="3"/>
        <v>-0.020833333333333</v>
      </c>
    </row>
    <row r="13" spans="1:11">
      <c r="A13" s="80">
        <v>8</v>
      </c>
      <c r="B13" s="81" t="s">
        <v>14</v>
      </c>
      <c r="C13" s="82">
        <v>0</v>
      </c>
      <c r="D13" s="82">
        <v>0</v>
      </c>
      <c r="E13" s="82">
        <f t="shared" si="0"/>
        <v>0</v>
      </c>
      <c r="F13" s="82">
        <v>0</v>
      </c>
      <c r="G13" s="82">
        <v>0</v>
      </c>
      <c r="H13" s="82">
        <f t="shared" si="1"/>
        <v>0</v>
      </c>
      <c r="I13" s="85">
        <v>0</v>
      </c>
      <c r="J13" s="85">
        <f t="shared" si="2"/>
        <v>0</v>
      </c>
      <c r="K13" s="85">
        <f t="shared" si="3"/>
        <v>0</v>
      </c>
    </row>
    <row r="14" spans="1:11">
      <c r="A14" s="48">
        <v>9</v>
      </c>
      <c r="B14" s="49" t="s">
        <v>15</v>
      </c>
      <c r="C14" s="50">
        <v>0.340277777777778</v>
      </c>
      <c r="D14" s="50">
        <v>0.479166666666667</v>
      </c>
      <c r="E14" s="50">
        <f t="shared" si="0"/>
        <v>0.138888888888889</v>
      </c>
      <c r="F14" s="50">
        <v>0.5625</v>
      </c>
      <c r="G14" s="50">
        <v>0.770833333333333</v>
      </c>
      <c r="H14" s="84">
        <f t="shared" si="1"/>
        <v>0.208333333333333</v>
      </c>
      <c r="I14" s="64">
        <v>0.333333333333333</v>
      </c>
      <c r="J14" s="64">
        <f t="shared" si="2"/>
        <v>0.347222222222222</v>
      </c>
      <c r="K14" s="64">
        <f t="shared" si="3"/>
        <v>0.0138888888888891</v>
      </c>
    </row>
    <row r="15" spans="1:11">
      <c r="A15" s="48">
        <v>10</v>
      </c>
      <c r="B15" s="49" t="s">
        <v>16</v>
      </c>
      <c r="C15" s="50">
        <v>0.322916666666667</v>
      </c>
      <c r="D15" s="50">
        <v>0.479166666666667</v>
      </c>
      <c r="E15" s="50">
        <f t="shared" si="0"/>
        <v>0.15625</v>
      </c>
      <c r="F15" s="50">
        <v>0.569444444444444</v>
      </c>
      <c r="G15" s="50">
        <v>0.75</v>
      </c>
      <c r="H15" s="84">
        <f t="shared" si="1"/>
        <v>0.180555555555556</v>
      </c>
      <c r="I15" s="64">
        <v>0.333333333333333</v>
      </c>
      <c r="J15" s="64">
        <f t="shared" si="2"/>
        <v>0.336805555555556</v>
      </c>
      <c r="K15" s="64">
        <f t="shared" si="3"/>
        <v>0.00347222222222304</v>
      </c>
    </row>
    <row r="16" spans="1:11">
      <c r="A16" s="48">
        <v>11</v>
      </c>
      <c r="B16" s="49" t="s">
        <v>17</v>
      </c>
      <c r="C16" s="50">
        <v>0.333333333333333</v>
      </c>
      <c r="D16" s="50">
        <v>0.458333333333333</v>
      </c>
      <c r="E16" s="50">
        <f t="shared" si="0"/>
        <v>0.125</v>
      </c>
      <c r="F16" s="50">
        <v>0.5625</v>
      </c>
      <c r="G16" s="50">
        <v>0.75</v>
      </c>
      <c r="H16" s="84">
        <f t="shared" si="1"/>
        <v>0.1875</v>
      </c>
      <c r="I16" s="64">
        <v>0.333333333333333</v>
      </c>
      <c r="J16" s="64">
        <f t="shared" si="2"/>
        <v>0.3125</v>
      </c>
      <c r="K16" s="64">
        <f t="shared" si="3"/>
        <v>-0.020833333333333</v>
      </c>
    </row>
    <row r="17" spans="1:11">
      <c r="A17" s="48">
        <v>12</v>
      </c>
      <c r="B17" s="49" t="s">
        <v>18</v>
      </c>
      <c r="C17" s="50">
        <v>0.333333333333333</v>
      </c>
      <c r="D17" s="50">
        <v>0.479166666666667</v>
      </c>
      <c r="E17" s="50">
        <f t="shared" si="0"/>
        <v>0.145833333333334</v>
      </c>
      <c r="F17" s="50">
        <v>0.569444444444444</v>
      </c>
      <c r="G17" s="50">
        <v>0.763888888888889</v>
      </c>
      <c r="H17" s="84">
        <f t="shared" si="1"/>
        <v>0.194444444444445</v>
      </c>
      <c r="I17" s="66">
        <v>0.333333333333333</v>
      </c>
      <c r="J17" s="64">
        <f t="shared" si="2"/>
        <v>0.340277777777779</v>
      </c>
      <c r="K17" s="64">
        <f t="shared" si="3"/>
        <v>0.00694444444444603</v>
      </c>
    </row>
    <row r="18" spans="1:11">
      <c r="A18" s="48">
        <v>13</v>
      </c>
      <c r="B18" s="49" t="s">
        <v>19</v>
      </c>
      <c r="C18" s="50">
        <v>0.326388888888889</v>
      </c>
      <c r="D18" s="50">
        <v>0.5</v>
      </c>
      <c r="E18" s="50">
        <f t="shared" si="0"/>
        <v>0.173611111111111</v>
      </c>
      <c r="F18" s="50">
        <v>0.5625</v>
      </c>
      <c r="G18" s="50">
        <v>0.75</v>
      </c>
      <c r="H18" s="84">
        <f t="shared" si="1"/>
        <v>0.1875</v>
      </c>
      <c r="I18" s="64">
        <v>0.333333333333333</v>
      </c>
      <c r="J18" s="64">
        <f t="shared" si="2"/>
        <v>0.361111111111111</v>
      </c>
      <c r="K18" s="64">
        <f t="shared" si="3"/>
        <v>0.027777777777778</v>
      </c>
    </row>
    <row r="19" spans="1:11">
      <c r="A19" s="48">
        <v>14</v>
      </c>
      <c r="B19" s="49" t="s">
        <v>20</v>
      </c>
      <c r="C19" s="50">
        <v>0.322916666666667</v>
      </c>
      <c r="D19" s="50">
        <v>0.5</v>
      </c>
      <c r="E19" s="50">
        <f t="shared" si="0"/>
        <v>0.177083333333333</v>
      </c>
      <c r="F19" s="50">
        <v>0</v>
      </c>
      <c r="G19" s="50">
        <v>0</v>
      </c>
      <c r="H19" s="84">
        <f t="shared" si="1"/>
        <v>0</v>
      </c>
      <c r="I19" s="64">
        <v>0.166666666666667</v>
      </c>
      <c r="J19" s="64">
        <f t="shared" si="2"/>
        <v>0.177083333333333</v>
      </c>
      <c r="K19" s="64">
        <f t="shared" si="3"/>
        <v>0.010416666666666</v>
      </c>
    </row>
    <row r="20" spans="1:11">
      <c r="A20" s="80">
        <v>15</v>
      </c>
      <c r="B20" s="81" t="s">
        <v>14</v>
      </c>
      <c r="C20" s="82">
        <v>0</v>
      </c>
      <c r="D20" s="82">
        <v>0</v>
      </c>
      <c r="E20" s="82">
        <f t="shared" si="0"/>
        <v>0</v>
      </c>
      <c r="F20" s="82">
        <v>0</v>
      </c>
      <c r="G20" s="82">
        <v>0</v>
      </c>
      <c r="H20" s="82">
        <f t="shared" si="1"/>
        <v>0</v>
      </c>
      <c r="I20" s="85">
        <v>0</v>
      </c>
      <c r="J20" s="85">
        <f t="shared" si="2"/>
        <v>0</v>
      </c>
      <c r="K20" s="85">
        <f t="shared" si="3"/>
        <v>0</v>
      </c>
    </row>
    <row r="21" spans="1:11">
      <c r="A21" s="48">
        <v>16</v>
      </c>
      <c r="B21" s="49" t="s">
        <v>15</v>
      </c>
      <c r="C21" s="50">
        <v>0.333333333333333</v>
      </c>
      <c r="D21" s="50">
        <v>0.479166666666667</v>
      </c>
      <c r="E21" s="50">
        <f t="shared" si="0"/>
        <v>0.145833333333334</v>
      </c>
      <c r="F21" s="50">
        <v>0.572916666666667</v>
      </c>
      <c r="G21" s="50">
        <v>0.75</v>
      </c>
      <c r="H21" s="84">
        <f t="shared" si="1"/>
        <v>0.177083333333333</v>
      </c>
      <c r="I21" s="64">
        <v>0.333333333333333</v>
      </c>
      <c r="J21" s="64">
        <f t="shared" si="2"/>
        <v>0.322916666666667</v>
      </c>
      <c r="K21" s="64">
        <f t="shared" si="3"/>
        <v>-0.0104166666666659</v>
      </c>
    </row>
    <row r="22" spans="1:11">
      <c r="A22" s="48">
        <v>17</v>
      </c>
      <c r="B22" s="49" t="s">
        <v>16</v>
      </c>
      <c r="C22" s="50">
        <v>0.333333333333333</v>
      </c>
      <c r="D22" s="50">
        <v>0.479166666666667</v>
      </c>
      <c r="E22" s="50">
        <f t="shared" si="0"/>
        <v>0.145833333333334</v>
      </c>
      <c r="F22" s="50">
        <v>0.569444444444444</v>
      </c>
      <c r="G22" s="50">
        <v>0.75</v>
      </c>
      <c r="H22" s="84">
        <f t="shared" si="1"/>
        <v>0.180555555555556</v>
      </c>
      <c r="I22" s="64">
        <v>0.333333333333333</v>
      </c>
      <c r="J22" s="64">
        <f t="shared" si="2"/>
        <v>0.32638888888889</v>
      </c>
      <c r="K22" s="64">
        <f t="shared" si="3"/>
        <v>-0.00694444444444292</v>
      </c>
    </row>
    <row r="23" spans="1:11">
      <c r="A23" s="48">
        <v>18</v>
      </c>
      <c r="B23" s="49" t="s">
        <v>17</v>
      </c>
      <c r="C23" s="50">
        <v>0.322916666666667</v>
      </c>
      <c r="D23" s="50">
        <v>0.538194444444444</v>
      </c>
      <c r="E23" s="50">
        <f t="shared" si="0"/>
        <v>0.215277777777777</v>
      </c>
      <c r="F23" s="50">
        <v>0.5625</v>
      </c>
      <c r="G23" s="50">
        <v>0.75</v>
      </c>
      <c r="H23" s="84">
        <f t="shared" si="1"/>
        <v>0.1875</v>
      </c>
      <c r="I23" s="64">
        <v>0.333333333333333</v>
      </c>
      <c r="J23" s="64">
        <f t="shared" si="2"/>
        <v>0.402777777777777</v>
      </c>
      <c r="K23" s="64">
        <f t="shared" si="3"/>
        <v>0.069444444444444</v>
      </c>
    </row>
    <row r="24" spans="1:11">
      <c r="A24" s="48">
        <v>19</v>
      </c>
      <c r="B24" s="49" t="s">
        <v>18</v>
      </c>
      <c r="C24" s="50">
        <v>0.333333333333333</v>
      </c>
      <c r="D24" s="50">
        <v>0.541666666666667</v>
      </c>
      <c r="E24" s="50">
        <f t="shared" si="0"/>
        <v>0.208333333333334</v>
      </c>
      <c r="F24" s="50">
        <v>0.576388888888889</v>
      </c>
      <c r="G24" s="50">
        <v>0.75</v>
      </c>
      <c r="H24" s="84">
        <f t="shared" si="1"/>
        <v>0.173611111111111</v>
      </c>
      <c r="I24" s="66">
        <v>0.333333333333333</v>
      </c>
      <c r="J24" s="64">
        <f t="shared" si="2"/>
        <v>0.381944444444445</v>
      </c>
      <c r="K24" s="64">
        <f t="shared" si="3"/>
        <v>0.048611111111112</v>
      </c>
    </row>
    <row r="25" spans="1:11">
      <c r="A25" s="48">
        <v>20</v>
      </c>
      <c r="B25" s="49" t="s">
        <v>19</v>
      </c>
      <c r="C25" s="50">
        <v>0.333333333333333</v>
      </c>
      <c r="D25" s="50">
        <v>0.510416666666667</v>
      </c>
      <c r="E25" s="50">
        <f t="shared" si="0"/>
        <v>0.177083333333334</v>
      </c>
      <c r="F25" s="50">
        <v>0.559027777777778</v>
      </c>
      <c r="G25" s="50">
        <v>0.75</v>
      </c>
      <c r="H25" s="84">
        <f t="shared" si="1"/>
        <v>0.190972222222222</v>
      </c>
      <c r="I25" s="64">
        <v>0.333333333333333</v>
      </c>
      <c r="J25" s="64">
        <f t="shared" si="2"/>
        <v>0.368055555555556</v>
      </c>
      <c r="K25" s="64">
        <f t="shared" si="3"/>
        <v>0.034722222222223</v>
      </c>
    </row>
    <row r="26" spans="1:11">
      <c r="A26" s="80">
        <v>21</v>
      </c>
      <c r="B26" s="81" t="s">
        <v>20</v>
      </c>
      <c r="C26" s="82">
        <v>0</v>
      </c>
      <c r="D26" s="82">
        <v>0</v>
      </c>
      <c r="E26" s="82">
        <f t="shared" si="0"/>
        <v>0</v>
      </c>
      <c r="F26" s="82">
        <v>0</v>
      </c>
      <c r="G26" s="82">
        <v>0</v>
      </c>
      <c r="H26" s="82">
        <f t="shared" si="1"/>
        <v>0</v>
      </c>
      <c r="I26" s="85">
        <v>0</v>
      </c>
      <c r="J26" s="85">
        <f t="shared" si="2"/>
        <v>0</v>
      </c>
      <c r="K26" s="85">
        <f t="shared" si="3"/>
        <v>0</v>
      </c>
    </row>
    <row r="27" spans="1:11">
      <c r="A27" s="80">
        <v>22</v>
      </c>
      <c r="B27" s="81" t="s">
        <v>14</v>
      </c>
      <c r="C27" s="82">
        <v>0</v>
      </c>
      <c r="D27" s="82">
        <v>0</v>
      </c>
      <c r="E27" s="82">
        <f t="shared" si="0"/>
        <v>0</v>
      </c>
      <c r="F27" s="82">
        <v>0</v>
      </c>
      <c r="G27" s="82">
        <v>0</v>
      </c>
      <c r="H27" s="82">
        <f t="shared" si="1"/>
        <v>0</v>
      </c>
      <c r="I27" s="85">
        <v>0</v>
      </c>
      <c r="J27" s="85">
        <f t="shared" si="2"/>
        <v>0</v>
      </c>
      <c r="K27" s="85">
        <f t="shared" si="3"/>
        <v>0</v>
      </c>
    </row>
    <row r="28" spans="1:11">
      <c r="A28" s="48">
        <v>23</v>
      </c>
      <c r="B28" s="49" t="s">
        <v>15</v>
      </c>
      <c r="C28" s="50">
        <v>0.333333333333333</v>
      </c>
      <c r="D28" s="50">
        <v>0.486111111111111</v>
      </c>
      <c r="E28" s="50">
        <f t="shared" si="0"/>
        <v>0.152777777777778</v>
      </c>
      <c r="F28" s="50">
        <v>0.565972222222222</v>
      </c>
      <c r="G28" s="50">
        <v>0.75</v>
      </c>
      <c r="H28" s="84">
        <f t="shared" si="1"/>
        <v>0.184027777777778</v>
      </c>
      <c r="I28" s="64">
        <v>0.333333333333333</v>
      </c>
      <c r="J28" s="64">
        <f t="shared" si="2"/>
        <v>0.336805555555556</v>
      </c>
      <c r="K28" s="64">
        <f t="shared" si="3"/>
        <v>0.00347222222222304</v>
      </c>
    </row>
    <row r="29" spans="1:11">
      <c r="A29" s="48">
        <v>24</v>
      </c>
      <c r="B29" s="49" t="s">
        <v>16</v>
      </c>
      <c r="C29" s="50">
        <v>0.326388888888889</v>
      </c>
      <c r="D29" s="50">
        <v>0.479166666666667</v>
      </c>
      <c r="E29" s="50">
        <f t="shared" si="0"/>
        <v>0.152777777777778</v>
      </c>
      <c r="F29" s="50">
        <v>0.5625</v>
      </c>
      <c r="G29" s="50">
        <v>0.75</v>
      </c>
      <c r="H29" s="84">
        <f t="shared" si="1"/>
        <v>0.1875</v>
      </c>
      <c r="I29" s="64">
        <v>0.333333333333333</v>
      </c>
      <c r="J29" s="64">
        <f t="shared" si="2"/>
        <v>0.340277777777778</v>
      </c>
      <c r="K29" s="64">
        <f t="shared" si="3"/>
        <v>0.00694444444444503</v>
      </c>
    </row>
    <row r="30" spans="1:11">
      <c r="A30" s="48">
        <v>25</v>
      </c>
      <c r="B30" s="49" t="s">
        <v>17</v>
      </c>
      <c r="C30" s="50">
        <v>0.326388888888889</v>
      </c>
      <c r="D30" s="50">
        <v>0.496527777777778</v>
      </c>
      <c r="E30" s="50">
        <f t="shared" si="0"/>
        <v>0.170138888888889</v>
      </c>
      <c r="F30" s="50">
        <v>0.569444444444444</v>
      </c>
      <c r="G30" s="50">
        <v>0.760416666666667</v>
      </c>
      <c r="H30" s="84">
        <f t="shared" si="1"/>
        <v>0.190972222222223</v>
      </c>
      <c r="I30" s="64">
        <v>0.333333333333333</v>
      </c>
      <c r="J30" s="64">
        <f t="shared" si="2"/>
        <v>0.361111111111112</v>
      </c>
      <c r="K30" s="64">
        <f t="shared" si="3"/>
        <v>0.027777777777779</v>
      </c>
    </row>
    <row r="31" spans="1:11">
      <c r="A31" s="48">
        <v>26</v>
      </c>
      <c r="B31" s="49" t="s">
        <v>18</v>
      </c>
      <c r="C31" s="50">
        <v>0.333333333333333</v>
      </c>
      <c r="D31" s="50">
        <v>0.479166666666667</v>
      </c>
      <c r="E31" s="50">
        <f t="shared" si="0"/>
        <v>0.145833333333334</v>
      </c>
      <c r="F31" s="50">
        <v>0.541666666666667</v>
      </c>
      <c r="G31" s="50">
        <v>0.75</v>
      </c>
      <c r="H31" s="84">
        <f t="shared" si="1"/>
        <v>0.208333333333333</v>
      </c>
      <c r="I31" s="66">
        <v>0.333333333333333</v>
      </c>
      <c r="J31" s="64">
        <f t="shared" si="2"/>
        <v>0.354166666666667</v>
      </c>
      <c r="K31" s="64">
        <f t="shared" si="3"/>
        <v>0.0208333333333341</v>
      </c>
    </row>
    <row r="32" spans="1:11">
      <c r="A32" s="48">
        <v>27</v>
      </c>
      <c r="B32" s="49" t="s">
        <v>19</v>
      </c>
      <c r="C32" s="50"/>
      <c r="D32" s="50"/>
      <c r="E32" s="50">
        <f t="shared" si="0"/>
        <v>0</v>
      </c>
      <c r="F32" s="50"/>
      <c r="G32" s="50"/>
      <c r="H32" s="84">
        <f t="shared" si="1"/>
        <v>0</v>
      </c>
      <c r="I32" s="64">
        <v>0</v>
      </c>
      <c r="J32" s="64">
        <f t="shared" si="2"/>
        <v>0</v>
      </c>
      <c r="K32" s="64">
        <f t="shared" si="3"/>
        <v>0</v>
      </c>
    </row>
    <row r="33" spans="1:11">
      <c r="A33" s="48">
        <v>28</v>
      </c>
      <c r="B33" s="49" t="s">
        <v>20</v>
      </c>
      <c r="C33" s="50">
        <v>0.322916666666667</v>
      </c>
      <c r="D33" s="50">
        <v>0.479166666666667</v>
      </c>
      <c r="E33" s="50">
        <f t="shared" si="0"/>
        <v>0.15625</v>
      </c>
      <c r="F33" s="50">
        <v>0</v>
      </c>
      <c r="G33" s="50">
        <v>0</v>
      </c>
      <c r="H33" s="84">
        <f t="shared" si="1"/>
        <v>0</v>
      </c>
      <c r="I33" s="86">
        <v>0.166666666666667</v>
      </c>
      <c r="J33" s="64">
        <f t="shared" si="2"/>
        <v>0.15625</v>
      </c>
      <c r="K33" s="64">
        <f t="shared" si="3"/>
        <v>-0.010416666666667</v>
      </c>
    </row>
    <row r="34" spans="1:11">
      <c r="A34" s="80">
        <v>29</v>
      </c>
      <c r="B34" s="81" t="s">
        <v>14</v>
      </c>
      <c r="C34" s="82">
        <v>0</v>
      </c>
      <c r="D34" s="82">
        <v>0</v>
      </c>
      <c r="E34" s="82">
        <f t="shared" si="0"/>
        <v>0</v>
      </c>
      <c r="F34" s="82">
        <v>0</v>
      </c>
      <c r="G34" s="82">
        <v>0</v>
      </c>
      <c r="H34" s="82">
        <f t="shared" si="1"/>
        <v>0</v>
      </c>
      <c r="I34" s="85">
        <v>0</v>
      </c>
      <c r="J34" s="85">
        <f t="shared" si="2"/>
        <v>0</v>
      </c>
      <c r="K34" s="85">
        <f t="shared" si="3"/>
        <v>0</v>
      </c>
    </row>
    <row r="35" spans="1:11">
      <c r="A35" s="48">
        <v>30</v>
      </c>
      <c r="B35" s="49" t="s">
        <v>15</v>
      </c>
      <c r="C35" s="50">
        <v>0.3125</v>
      </c>
      <c r="D35" s="50">
        <v>0.5</v>
      </c>
      <c r="E35" s="50">
        <f t="shared" si="0"/>
        <v>0.1875</v>
      </c>
      <c r="F35" s="50">
        <v>0.5625</v>
      </c>
      <c r="G35" s="50">
        <v>0.75</v>
      </c>
      <c r="H35" s="84">
        <f t="shared" si="1"/>
        <v>0.1875</v>
      </c>
      <c r="I35" s="64">
        <v>0.333333333333333</v>
      </c>
      <c r="J35" s="64">
        <f t="shared" si="2"/>
        <v>0.375</v>
      </c>
      <c r="K35" s="64">
        <f t="shared" si="3"/>
        <v>0.041666666666667</v>
      </c>
    </row>
    <row r="36" spans="1:11">
      <c r="A36" s="48"/>
      <c r="B36" s="49"/>
      <c r="C36" s="50"/>
      <c r="D36" s="50"/>
      <c r="E36" s="50"/>
      <c r="F36" s="50"/>
      <c r="G36" s="50"/>
      <c r="H36" s="50"/>
      <c r="I36" s="64"/>
      <c r="J36" s="64"/>
      <c r="K36" s="64"/>
    </row>
    <row r="37" spans="1:11">
      <c r="A37" s="48"/>
      <c r="B37" s="48"/>
      <c r="C37" s="50"/>
      <c r="D37" s="50"/>
      <c r="E37" s="50"/>
      <c r="F37" s="50"/>
      <c r="G37" s="50"/>
      <c r="H37" s="50"/>
      <c r="I37" s="64">
        <f>SUM(I6:I36)</f>
        <v>6.83333333333333</v>
      </c>
      <c r="J37" s="64">
        <f>SUM(J6:J36)</f>
        <v>7.13194444444445</v>
      </c>
      <c r="K37" s="64">
        <f>J37-I37</f>
        <v>0.298611111111122</v>
      </c>
    </row>
    <row r="38" spans="1:11">
      <c r="A38" s="57"/>
      <c r="B38" s="57"/>
      <c r="C38" s="58"/>
      <c r="D38" s="58"/>
      <c r="E38" s="58"/>
      <c r="F38" s="58"/>
      <c r="G38" s="58"/>
      <c r="H38" s="58"/>
      <c r="I38" s="68"/>
      <c r="J38" s="68"/>
      <c r="K38" s="57"/>
    </row>
    <row r="39" spans="1:11">
      <c r="A39" s="59" t="s">
        <v>21</v>
      </c>
      <c r="B39" s="59"/>
      <c r="C39" s="58">
        <f>J37</f>
        <v>7.13194444444445</v>
      </c>
      <c r="D39" s="58"/>
      <c r="E39" s="58"/>
      <c r="F39" s="58"/>
      <c r="G39" s="58"/>
      <c r="H39" s="58"/>
      <c r="I39" s="68"/>
      <c r="J39" s="68"/>
      <c r="K39" s="57"/>
    </row>
    <row r="40" spans="1:11">
      <c r="A40" s="59" t="s">
        <v>22</v>
      </c>
      <c r="B40" s="59"/>
      <c r="C40" s="58">
        <f>I37</f>
        <v>6.83333333333333</v>
      </c>
      <c r="D40" s="60"/>
      <c r="E40" s="60"/>
      <c r="F40" s="60"/>
      <c r="G40" s="60"/>
      <c r="H40" s="60"/>
      <c r="I40" s="57"/>
      <c r="J40" s="57"/>
      <c r="K40" s="57"/>
    </row>
    <row r="41" spans="1:11">
      <c r="A41" s="61"/>
      <c r="B41" s="61"/>
      <c r="C41" s="60"/>
      <c r="D41" s="60"/>
      <c r="E41" s="60"/>
      <c r="F41" s="60"/>
      <c r="G41" s="60"/>
      <c r="H41" s="60"/>
      <c r="I41" s="57"/>
      <c r="J41" s="57"/>
      <c r="K41" s="57"/>
    </row>
    <row r="42" spans="1:11">
      <c r="A42" s="57"/>
      <c r="B42" s="57" t="s">
        <v>13</v>
      </c>
      <c r="C42" s="58">
        <f>C39-C40</f>
        <v>0.298611111111122</v>
      </c>
      <c r="D42" s="60"/>
      <c r="E42" s="60"/>
      <c r="F42" s="60"/>
      <c r="G42" s="60"/>
      <c r="H42" s="60"/>
      <c r="I42" s="57"/>
      <c r="J42" s="57"/>
      <c r="K42" s="57"/>
    </row>
    <row r="43" spans="1:11">
      <c r="A43" s="57"/>
      <c r="B43" s="57"/>
      <c r="C43" s="60"/>
      <c r="D43" s="60"/>
      <c r="E43" s="60"/>
      <c r="F43" s="60"/>
      <c r="G43" s="60"/>
      <c r="H43" s="60"/>
      <c r="I43" s="57"/>
      <c r="J43" s="57"/>
      <c r="K43" s="57"/>
    </row>
    <row r="44" spans="1:11">
      <c r="A44" s="62" t="s">
        <v>36</v>
      </c>
      <c r="B44" s="62"/>
      <c r="C44" s="62"/>
      <c r="D44" s="62"/>
      <c r="E44" s="62"/>
      <c r="F44" s="62"/>
      <c r="G44" s="62"/>
      <c r="H44" s="62"/>
      <c r="I44" s="62"/>
      <c r="J44" s="62"/>
      <c r="K44" s="57"/>
    </row>
  </sheetData>
  <mergeCells count="10">
    <mergeCell ref="A1:K1"/>
    <mergeCell ref="A2:B2"/>
    <mergeCell ref="C2:K2"/>
    <mergeCell ref="A3:B3"/>
    <mergeCell ref="C3:K3"/>
    <mergeCell ref="C4:E4"/>
    <mergeCell ref="F4:H4"/>
    <mergeCell ref="A39:B39"/>
    <mergeCell ref="A40:B40"/>
    <mergeCell ref="A44:J44"/>
  </mergeCells>
  <pageMargins left="0.511805555555555" right="0.511805555555555" top="0.7875" bottom="0.7875" header="0.511805555555555" footer="0.511805555555555"/>
  <pageSetup paperSize="9" firstPageNumber="0" orientation="portrait" useFirstPageNumber="1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5"/>
  <sheetViews>
    <sheetView topLeftCell="A22" workbookViewId="0">
      <selection activeCell="A1" sqref="A1:K1"/>
    </sheetView>
  </sheetViews>
  <sheetFormatPr defaultColWidth="9.01904761904762" defaultRowHeight="15"/>
  <cols>
    <col min="1" max="1" width="3.29523809523809" customWidth="1"/>
    <col min="2" max="2" width="13.2857142857143" customWidth="1"/>
  </cols>
  <sheetData>
    <row r="1" spans="1:11">
      <c r="A1" s="71" t="s">
        <v>27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spans="1:11">
      <c r="A2" s="72" t="s">
        <v>1</v>
      </c>
      <c r="B2" s="72"/>
      <c r="C2" s="72" t="s">
        <v>28</v>
      </c>
      <c r="D2" s="72"/>
      <c r="E2" s="72"/>
      <c r="F2" s="72"/>
      <c r="G2" s="72"/>
      <c r="H2" s="72"/>
      <c r="I2" s="72"/>
      <c r="J2" s="72"/>
      <c r="K2" s="72"/>
    </row>
    <row r="3" spans="1:11">
      <c r="A3" s="72" t="s">
        <v>3</v>
      </c>
      <c r="B3" s="72"/>
      <c r="C3" s="73" t="s">
        <v>42</v>
      </c>
      <c r="D3" s="73"/>
      <c r="E3" s="73"/>
      <c r="F3" s="73"/>
      <c r="G3" s="73"/>
      <c r="H3" s="73"/>
      <c r="I3" s="73"/>
      <c r="J3" s="73"/>
      <c r="K3" s="73"/>
    </row>
    <row r="4" spans="1:11">
      <c r="A4" s="74"/>
      <c r="B4" s="74"/>
      <c r="C4" s="75" t="s">
        <v>5</v>
      </c>
      <c r="D4" s="75"/>
      <c r="E4" s="75"/>
      <c r="F4" s="75" t="s">
        <v>6</v>
      </c>
      <c r="G4" s="75"/>
      <c r="H4" s="75"/>
      <c r="I4" s="74"/>
      <c r="J4" s="74"/>
      <c r="K4" s="76"/>
    </row>
    <row r="5" spans="1:11">
      <c r="A5" s="76"/>
      <c r="B5" s="71"/>
      <c r="C5" s="71" t="s">
        <v>7</v>
      </c>
      <c r="D5" s="71" t="s">
        <v>8</v>
      </c>
      <c r="E5" s="71" t="s">
        <v>9</v>
      </c>
      <c r="F5" s="71" t="s">
        <v>7</v>
      </c>
      <c r="G5" s="71" t="s">
        <v>10</v>
      </c>
      <c r="H5" s="71" t="s">
        <v>9</v>
      </c>
      <c r="I5" s="78" t="s">
        <v>11</v>
      </c>
      <c r="J5" s="78" t="s">
        <v>12</v>
      </c>
      <c r="K5" s="71" t="s">
        <v>13</v>
      </c>
    </row>
    <row r="6" spans="1:11">
      <c r="A6" s="52">
        <v>1</v>
      </c>
      <c r="B6" s="53" t="s">
        <v>16</v>
      </c>
      <c r="C6" s="51"/>
      <c r="D6" s="51"/>
      <c r="E6" s="51">
        <f t="shared" ref="E6:E36" si="0">D6-C6</f>
        <v>0</v>
      </c>
      <c r="F6" s="51"/>
      <c r="G6" s="51"/>
      <c r="H6" s="51">
        <f t="shared" ref="H6:H36" si="1">G6-F6</f>
        <v>0</v>
      </c>
      <c r="I6" s="65">
        <v>0</v>
      </c>
      <c r="J6" s="65">
        <f t="shared" ref="J6:J36" si="2">E6+H6</f>
        <v>0</v>
      </c>
      <c r="K6" s="65">
        <f t="shared" ref="K6:K37" si="3">J6-I6</f>
        <v>0</v>
      </c>
    </row>
    <row r="7" spans="1:11">
      <c r="A7" s="48">
        <v>2</v>
      </c>
      <c r="B7" s="49" t="s">
        <v>17</v>
      </c>
      <c r="C7" s="50">
        <v>0.333333333333333</v>
      </c>
      <c r="D7" s="50">
        <v>0.479166666666667</v>
      </c>
      <c r="E7" s="50">
        <f t="shared" si="0"/>
        <v>0.145833333333334</v>
      </c>
      <c r="F7" s="50">
        <v>0.5625</v>
      </c>
      <c r="G7" s="50">
        <v>0.75</v>
      </c>
      <c r="H7" s="50">
        <f t="shared" si="1"/>
        <v>0.1875</v>
      </c>
      <c r="I7" s="64">
        <v>0.333333333333333</v>
      </c>
      <c r="J7" s="64">
        <f t="shared" si="2"/>
        <v>0.333333333333334</v>
      </c>
      <c r="K7" s="64">
        <f t="shared" si="3"/>
        <v>1.0547118733939e-15</v>
      </c>
    </row>
    <row r="8" spans="1:11">
      <c r="A8" s="48">
        <v>3</v>
      </c>
      <c r="B8" s="49" t="s">
        <v>18</v>
      </c>
      <c r="C8" s="50">
        <v>0.333333333333333</v>
      </c>
      <c r="D8" s="50">
        <v>0.493055555555556</v>
      </c>
      <c r="E8" s="50">
        <f t="shared" si="0"/>
        <v>0.159722222222223</v>
      </c>
      <c r="F8" s="50">
        <v>0.5625</v>
      </c>
      <c r="G8" s="50">
        <v>0.75</v>
      </c>
      <c r="H8" s="50">
        <f t="shared" si="1"/>
        <v>0.1875</v>
      </c>
      <c r="I8" s="64">
        <v>0.333333333333333</v>
      </c>
      <c r="J8" s="64">
        <f t="shared" si="2"/>
        <v>0.347222222222223</v>
      </c>
      <c r="K8" s="64">
        <f t="shared" si="3"/>
        <v>0.0138888888888901</v>
      </c>
    </row>
    <row r="9" spans="1:11">
      <c r="A9" s="48">
        <v>4</v>
      </c>
      <c r="B9" s="49" t="s">
        <v>19</v>
      </c>
      <c r="C9" s="50">
        <v>0.333333333333333</v>
      </c>
      <c r="D9" s="50">
        <v>0.472222222222222</v>
      </c>
      <c r="E9" s="50">
        <f t="shared" si="0"/>
        <v>0.138888888888889</v>
      </c>
      <c r="F9" s="50">
        <v>0.5625</v>
      </c>
      <c r="G9" s="50">
        <v>0.75</v>
      </c>
      <c r="H9" s="50">
        <f t="shared" si="1"/>
        <v>0.1875</v>
      </c>
      <c r="I9" s="64">
        <v>0.333333333333333</v>
      </c>
      <c r="J9" s="64">
        <f t="shared" si="2"/>
        <v>0.326388888888889</v>
      </c>
      <c r="K9" s="64">
        <f t="shared" si="3"/>
        <v>-0.00694444444444398</v>
      </c>
    </row>
    <row r="10" spans="1:11">
      <c r="A10" s="48">
        <v>5</v>
      </c>
      <c r="B10" s="49" t="s">
        <v>20</v>
      </c>
      <c r="C10" s="50">
        <v>0.333333333333333</v>
      </c>
      <c r="D10" s="50">
        <v>0.5</v>
      </c>
      <c r="E10" s="50">
        <f t="shared" si="0"/>
        <v>0.166666666666667</v>
      </c>
      <c r="F10" s="50"/>
      <c r="G10" s="50"/>
      <c r="H10" s="50">
        <f t="shared" si="1"/>
        <v>0</v>
      </c>
      <c r="I10" s="66">
        <v>0.166666666666667</v>
      </c>
      <c r="J10" s="64">
        <f t="shared" si="2"/>
        <v>0.166666666666667</v>
      </c>
      <c r="K10" s="64">
        <f t="shared" si="3"/>
        <v>0</v>
      </c>
    </row>
    <row r="11" spans="1:11">
      <c r="A11" s="52">
        <v>6</v>
      </c>
      <c r="B11" s="53" t="s">
        <v>14</v>
      </c>
      <c r="C11" s="51"/>
      <c r="D11" s="51"/>
      <c r="E11" s="51">
        <f t="shared" si="0"/>
        <v>0</v>
      </c>
      <c r="F11" s="51"/>
      <c r="G11" s="51"/>
      <c r="H11" s="51">
        <f t="shared" si="1"/>
        <v>0</v>
      </c>
      <c r="I11" s="65">
        <v>0</v>
      </c>
      <c r="J11" s="65">
        <f t="shared" si="2"/>
        <v>0</v>
      </c>
      <c r="K11" s="65">
        <f t="shared" si="3"/>
        <v>0</v>
      </c>
    </row>
    <row r="12" spans="1:11">
      <c r="A12" s="48">
        <v>7</v>
      </c>
      <c r="B12" s="49" t="s">
        <v>15</v>
      </c>
      <c r="C12" s="50">
        <v>0.333333333333333</v>
      </c>
      <c r="D12" s="50">
        <v>0.541666666666667</v>
      </c>
      <c r="E12" s="50">
        <f t="shared" si="0"/>
        <v>0.208333333333334</v>
      </c>
      <c r="F12" s="50">
        <v>0.576388888888889</v>
      </c>
      <c r="G12" s="50">
        <v>0.75</v>
      </c>
      <c r="H12" s="50">
        <f t="shared" si="1"/>
        <v>0.173611111111111</v>
      </c>
      <c r="I12" s="64">
        <v>0.333333333333333</v>
      </c>
      <c r="J12" s="64">
        <f t="shared" si="2"/>
        <v>0.381944444444445</v>
      </c>
      <c r="K12" s="64">
        <f t="shared" si="3"/>
        <v>0.048611111111112</v>
      </c>
    </row>
    <row r="13" spans="1:11">
      <c r="A13" s="48">
        <v>8</v>
      </c>
      <c r="B13" s="49" t="s">
        <v>16</v>
      </c>
      <c r="C13" s="50">
        <v>0.333333333333333</v>
      </c>
      <c r="D13" s="50">
        <v>0.5</v>
      </c>
      <c r="E13" s="50">
        <f t="shared" si="0"/>
        <v>0.166666666666667</v>
      </c>
      <c r="F13" s="50">
        <v>0.572916666666667</v>
      </c>
      <c r="G13" s="50">
        <v>0.791666666666667</v>
      </c>
      <c r="H13" s="50">
        <f t="shared" si="1"/>
        <v>0.21875</v>
      </c>
      <c r="I13" s="64">
        <v>0.333333333333333</v>
      </c>
      <c r="J13" s="64">
        <f t="shared" si="2"/>
        <v>0.385416666666667</v>
      </c>
      <c r="K13" s="64">
        <f t="shared" si="3"/>
        <v>0.052083333333334</v>
      </c>
    </row>
    <row r="14" spans="1:11">
      <c r="A14" s="48">
        <v>9</v>
      </c>
      <c r="B14" s="49" t="s">
        <v>17</v>
      </c>
      <c r="C14" s="50">
        <v>0.333333333333333</v>
      </c>
      <c r="D14" s="50">
        <v>0.541666666666667</v>
      </c>
      <c r="E14" s="50">
        <f t="shared" si="0"/>
        <v>0.208333333333334</v>
      </c>
      <c r="F14" s="50">
        <v>0.583333333333333</v>
      </c>
      <c r="G14" s="50">
        <v>0.770833333333333</v>
      </c>
      <c r="H14" s="50">
        <f t="shared" si="1"/>
        <v>0.1875</v>
      </c>
      <c r="I14" s="64">
        <v>0.333333333333333</v>
      </c>
      <c r="J14" s="64">
        <f t="shared" si="2"/>
        <v>0.395833333333334</v>
      </c>
      <c r="K14" s="64">
        <f t="shared" si="3"/>
        <v>0.062500000000001</v>
      </c>
    </row>
    <row r="15" spans="1:11">
      <c r="A15" s="48">
        <v>10</v>
      </c>
      <c r="B15" s="49" t="s">
        <v>18</v>
      </c>
      <c r="C15" s="50">
        <v>0.333333333333333</v>
      </c>
      <c r="D15" s="50">
        <v>0.493055555555556</v>
      </c>
      <c r="E15" s="50">
        <f t="shared" si="0"/>
        <v>0.159722222222223</v>
      </c>
      <c r="F15" s="50">
        <v>0.5625</v>
      </c>
      <c r="G15" s="50">
        <v>0.75</v>
      </c>
      <c r="H15" s="50">
        <f t="shared" si="1"/>
        <v>0.1875</v>
      </c>
      <c r="I15" s="64">
        <v>0.333333333333333</v>
      </c>
      <c r="J15" s="64">
        <f t="shared" si="2"/>
        <v>0.347222222222223</v>
      </c>
      <c r="K15" s="64">
        <f t="shared" si="3"/>
        <v>0.0138888888888901</v>
      </c>
    </row>
    <row r="16" spans="1:11">
      <c r="A16" s="48">
        <v>11</v>
      </c>
      <c r="B16" s="49" t="s">
        <v>19</v>
      </c>
      <c r="C16" s="50">
        <v>0.333333333333333</v>
      </c>
      <c r="D16" s="50">
        <v>0.479166666666667</v>
      </c>
      <c r="E16" s="50">
        <f t="shared" si="0"/>
        <v>0.145833333333334</v>
      </c>
      <c r="F16" s="50">
        <v>0.5625</v>
      </c>
      <c r="G16" s="50">
        <v>0.756944444444444</v>
      </c>
      <c r="H16" s="50">
        <f t="shared" si="1"/>
        <v>0.194444444444444</v>
      </c>
      <c r="I16" s="64">
        <v>0.333333333333333</v>
      </c>
      <c r="J16" s="64">
        <f t="shared" si="2"/>
        <v>0.340277777777778</v>
      </c>
      <c r="K16" s="64">
        <f t="shared" si="3"/>
        <v>0.00694444444444503</v>
      </c>
    </row>
    <row r="17" spans="1:11">
      <c r="A17" s="48">
        <v>12</v>
      </c>
      <c r="B17" s="49" t="s">
        <v>20</v>
      </c>
      <c r="C17" s="50">
        <v>0.333333333333333</v>
      </c>
      <c r="D17" s="50">
        <v>0.541666666666667</v>
      </c>
      <c r="E17" s="50">
        <f t="shared" si="0"/>
        <v>0.208333333333334</v>
      </c>
      <c r="F17" s="50"/>
      <c r="G17" s="50"/>
      <c r="H17" s="50">
        <f t="shared" si="1"/>
        <v>0</v>
      </c>
      <c r="I17" s="66">
        <v>0.166666666666667</v>
      </c>
      <c r="J17" s="64">
        <f t="shared" si="2"/>
        <v>0.208333333333334</v>
      </c>
      <c r="K17" s="64">
        <f t="shared" si="3"/>
        <v>0.041666666666667</v>
      </c>
    </row>
    <row r="18" spans="1:11">
      <c r="A18" s="52">
        <v>13</v>
      </c>
      <c r="B18" s="53" t="s">
        <v>14</v>
      </c>
      <c r="C18" s="51"/>
      <c r="D18" s="51"/>
      <c r="E18" s="51">
        <f t="shared" si="0"/>
        <v>0</v>
      </c>
      <c r="F18" s="51"/>
      <c r="G18" s="51"/>
      <c r="H18" s="51">
        <f t="shared" si="1"/>
        <v>0</v>
      </c>
      <c r="I18" s="65">
        <v>0</v>
      </c>
      <c r="J18" s="65">
        <f t="shared" si="2"/>
        <v>0</v>
      </c>
      <c r="K18" s="65">
        <f t="shared" si="3"/>
        <v>0</v>
      </c>
    </row>
    <row r="19" spans="1:11">
      <c r="A19" s="48">
        <v>14</v>
      </c>
      <c r="B19" s="49" t="s">
        <v>15</v>
      </c>
      <c r="C19" s="50">
        <v>0.333333333333333</v>
      </c>
      <c r="D19" s="50">
        <v>0.541666666666667</v>
      </c>
      <c r="E19" s="50">
        <f t="shared" si="0"/>
        <v>0.208333333333334</v>
      </c>
      <c r="F19" s="50">
        <v>0.552083333333333</v>
      </c>
      <c r="G19" s="50">
        <v>0.75</v>
      </c>
      <c r="H19" s="50">
        <f t="shared" si="1"/>
        <v>0.197916666666667</v>
      </c>
      <c r="I19" s="64">
        <v>0.333333333333333</v>
      </c>
      <c r="J19" s="64">
        <f t="shared" si="2"/>
        <v>0.406250000000001</v>
      </c>
      <c r="K19" s="64">
        <f t="shared" si="3"/>
        <v>0.072916666666668</v>
      </c>
    </row>
    <row r="20" spans="1:11">
      <c r="A20" s="48">
        <v>15</v>
      </c>
      <c r="B20" s="49" t="s">
        <v>16</v>
      </c>
      <c r="C20" s="50">
        <v>0.333333333333333</v>
      </c>
      <c r="D20" s="50">
        <v>0.479166666666667</v>
      </c>
      <c r="E20" s="50">
        <f t="shared" si="0"/>
        <v>0.145833333333334</v>
      </c>
      <c r="F20" s="50">
        <v>0.583333333333333</v>
      </c>
      <c r="G20" s="50">
        <v>0.75</v>
      </c>
      <c r="H20" s="50">
        <f t="shared" si="1"/>
        <v>0.166666666666667</v>
      </c>
      <c r="I20" s="64">
        <v>0.333333333333333</v>
      </c>
      <c r="J20" s="64">
        <f t="shared" si="2"/>
        <v>0.312500000000001</v>
      </c>
      <c r="K20" s="64">
        <f t="shared" si="3"/>
        <v>-0.020833333333332</v>
      </c>
    </row>
    <row r="21" spans="1:11">
      <c r="A21" s="48">
        <v>16</v>
      </c>
      <c r="B21" s="49" t="s">
        <v>17</v>
      </c>
      <c r="C21" s="50">
        <v>0.333333333333333</v>
      </c>
      <c r="D21" s="50">
        <v>0.479166666666667</v>
      </c>
      <c r="E21" s="50">
        <f t="shared" si="0"/>
        <v>0.145833333333334</v>
      </c>
      <c r="F21" s="50">
        <v>0.5625</v>
      </c>
      <c r="G21" s="50">
        <v>0.770833333333333</v>
      </c>
      <c r="H21" s="50">
        <f t="shared" si="1"/>
        <v>0.208333333333333</v>
      </c>
      <c r="I21" s="64">
        <v>0.333333333333333</v>
      </c>
      <c r="J21" s="64">
        <f t="shared" si="2"/>
        <v>0.354166666666667</v>
      </c>
      <c r="K21" s="64">
        <f t="shared" si="3"/>
        <v>0.0208333333333341</v>
      </c>
    </row>
    <row r="22" spans="1:11">
      <c r="A22" s="48">
        <v>17</v>
      </c>
      <c r="B22" s="49" t="s">
        <v>18</v>
      </c>
      <c r="C22" s="50">
        <v>0.375</v>
      </c>
      <c r="D22" s="50">
        <v>0.493055555555556</v>
      </c>
      <c r="E22" s="50">
        <f t="shared" si="0"/>
        <v>0.118055555555556</v>
      </c>
      <c r="F22" s="50">
        <v>0.5625</v>
      </c>
      <c r="G22" s="50">
        <v>0.75</v>
      </c>
      <c r="H22" s="50">
        <f t="shared" si="1"/>
        <v>0.1875</v>
      </c>
      <c r="I22" s="64">
        <v>0.333333333333333</v>
      </c>
      <c r="J22" s="64">
        <f t="shared" si="2"/>
        <v>0.305555555555556</v>
      </c>
      <c r="K22" s="64">
        <f t="shared" si="3"/>
        <v>-0.027777777777777</v>
      </c>
    </row>
    <row r="23" spans="1:11">
      <c r="A23" s="48">
        <v>18</v>
      </c>
      <c r="B23" s="49" t="s">
        <v>19</v>
      </c>
      <c r="C23" s="50">
        <v>0.333333333333333</v>
      </c>
      <c r="D23" s="50">
        <v>0.479166666666667</v>
      </c>
      <c r="E23" s="50">
        <f t="shared" si="0"/>
        <v>0.145833333333334</v>
      </c>
      <c r="F23" s="50">
        <v>0.541666666666667</v>
      </c>
      <c r="G23" s="50">
        <v>0.75</v>
      </c>
      <c r="H23" s="50">
        <f t="shared" si="1"/>
        <v>0.208333333333333</v>
      </c>
      <c r="I23" s="64">
        <v>0.333333333333333</v>
      </c>
      <c r="J23" s="64">
        <f t="shared" si="2"/>
        <v>0.354166666666667</v>
      </c>
      <c r="K23" s="64">
        <f t="shared" si="3"/>
        <v>0.0208333333333341</v>
      </c>
    </row>
    <row r="24" spans="1:11">
      <c r="A24" s="48">
        <v>19</v>
      </c>
      <c r="B24" s="49" t="s">
        <v>20</v>
      </c>
      <c r="C24" s="50">
        <v>0.333333333333333</v>
      </c>
      <c r="D24" s="50">
        <v>0.5</v>
      </c>
      <c r="E24" s="50">
        <f t="shared" si="0"/>
        <v>0.166666666666667</v>
      </c>
      <c r="F24" s="50"/>
      <c r="G24" s="50"/>
      <c r="H24" s="50">
        <f t="shared" si="1"/>
        <v>0</v>
      </c>
      <c r="I24" s="66">
        <v>0.166666666666667</v>
      </c>
      <c r="J24" s="64">
        <f t="shared" si="2"/>
        <v>0.166666666666667</v>
      </c>
      <c r="K24" s="64">
        <f t="shared" si="3"/>
        <v>0</v>
      </c>
    </row>
    <row r="25" spans="1:11">
      <c r="A25" s="52">
        <v>20</v>
      </c>
      <c r="B25" s="53" t="s">
        <v>14</v>
      </c>
      <c r="C25" s="51"/>
      <c r="D25" s="51"/>
      <c r="E25" s="51">
        <f t="shared" si="0"/>
        <v>0</v>
      </c>
      <c r="F25" s="51"/>
      <c r="G25" s="51"/>
      <c r="H25" s="51">
        <f t="shared" si="1"/>
        <v>0</v>
      </c>
      <c r="I25" s="65">
        <v>0</v>
      </c>
      <c r="J25" s="65">
        <f t="shared" si="2"/>
        <v>0</v>
      </c>
      <c r="K25" s="65">
        <f t="shared" si="3"/>
        <v>0</v>
      </c>
    </row>
    <row r="26" spans="1:11">
      <c r="A26" s="48">
        <v>21</v>
      </c>
      <c r="B26" s="49" t="s">
        <v>15</v>
      </c>
      <c r="C26" s="50">
        <v>0.333333333333333</v>
      </c>
      <c r="D26" s="50">
        <v>0.541666666666667</v>
      </c>
      <c r="E26" s="50">
        <f t="shared" si="0"/>
        <v>0.208333333333334</v>
      </c>
      <c r="F26" s="50">
        <v>0.583333333333333</v>
      </c>
      <c r="G26" s="50">
        <v>0.767361111111111</v>
      </c>
      <c r="H26" s="50">
        <f t="shared" si="1"/>
        <v>0.184027777777778</v>
      </c>
      <c r="I26" s="64">
        <v>0.333333333333333</v>
      </c>
      <c r="J26" s="64">
        <f t="shared" si="2"/>
        <v>0.392361111111112</v>
      </c>
      <c r="K26" s="64">
        <f t="shared" si="3"/>
        <v>0.059027777777779</v>
      </c>
    </row>
    <row r="27" spans="1:11">
      <c r="A27" s="48">
        <v>22</v>
      </c>
      <c r="B27" s="49" t="s">
        <v>16</v>
      </c>
      <c r="C27" s="50">
        <v>0.357638888888889</v>
      </c>
      <c r="D27" s="50">
        <v>0.524305555555556</v>
      </c>
      <c r="E27" s="50">
        <f t="shared" si="0"/>
        <v>0.166666666666667</v>
      </c>
      <c r="F27" s="50">
        <v>0.572916666666667</v>
      </c>
      <c r="G27" s="50">
        <v>0.75</v>
      </c>
      <c r="H27" s="50">
        <f t="shared" si="1"/>
        <v>0.177083333333333</v>
      </c>
      <c r="I27" s="64">
        <v>0.333333333333333</v>
      </c>
      <c r="J27" s="64">
        <f t="shared" si="2"/>
        <v>0.34375</v>
      </c>
      <c r="K27" s="64">
        <f t="shared" si="3"/>
        <v>0.0104166666666671</v>
      </c>
    </row>
    <row r="28" spans="1:11">
      <c r="A28" s="48">
        <v>23</v>
      </c>
      <c r="B28" s="49" t="s">
        <v>17</v>
      </c>
      <c r="C28" s="50">
        <v>0.333333333333333</v>
      </c>
      <c r="D28" s="50">
        <v>0.479166666666667</v>
      </c>
      <c r="E28" s="50">
        <f t="shared" si="0"/>
        <v>0.145833333333334</v>
      </c>
      <c r="F28" s="50">
        <v>0.555555555555556</v>
      </c>
      <c r="G28" s="50">
        <v>0.75</v>
      </c>
      <c r="H28" s="50">
        <f t="shared" si="1"/>
        <v>0.194444444444444</v>
      </c>
      <c r="I28" s="64">
        <v>0.333333333333333</v>
      </c>
      <c r="J28" s="64">
        <f t="shared" si="2"/>
        <v>0.340277777777778</v>
      </c>
      <c r="K28" s="64">
        <f t="shared" si="3"/>
        <v>0.00694444444444503</v>
      </c>
    </row>
    <row r="29" spans="1:11">
      <c r="A29" s="48">
        <v>24</v>
      </c>
      <c r="B29" s="49" t="s">
        <v>18</v>
      </c>
      <c r="C29" s="50">
        <v>0.333333333333333</v>
      </c>
      <c r="D29" s="50">
        <v>0.479166666666667</v>
      </c>
      <c r="E29" s="50">
        <f t="shared" si="0"/>
        <v>0.145833333333334</v>
      </c>
      <c r="F29" s="50">
        <v>0.555555555555556</v>
      </c>
      <c r="G29" s="50">
        <v>0.756944444444444</v>
      </c>
      <c r="H29" s="50">
        <f t="shared" si="1"/>
        <v>0.201388888888888</v>
      </c>
      <c r="I29" s="64">
        <v>0.333333333333333</v>
      </c>
      <c r="J29" s="64">
        <f t="shared" si="2"/>
        <v>0.347222222222222</v>
      </c>
      <c r="K29" s="64">
        <f t="shared" si="3"/>
        <v>0.013888888888889</v>
      </c>
    </row>
    <row r="30" spans="1:11">
      <c r="A30" s="48">
        <v>25</v>
      </c>
      <c r="B30" s="49" t="s">
        <v>19</v>
      </c>
      <c r="C30" s="50">
        <v>0.333333333333333</v>
      </c>
      <c r="D30" s="50">
        <v>0.479166666666667</v>
      </c>
      <c r="E30" s="50">
        <f t="shared" si="0"/>
        <v>0.145833333333334</v>
      </c>
      <c r="F30" s="50">
        <v>0.5625</v>
      </c>
      <c r="G30" s="50">
        <v>0.770833333333333</v>
      </c>
      <c r="H30" s="50">
        <f t="shared" si="1"/>
        <v>0.208333333333333</v>
      </c>
      <c r="I30" s="64">
        <v>0.333333333333333</v>
      </c>
      <c r="J30" s="64">
        <f t="shared" si="2"/>
        <v>0.354166666666667</v>
      </c>
      <c r="K30" s="64">
        <f t="shared" si="3"/>
        <v>0.0208333333333341</v>
      </c>
    </row>
    <row r="31" spans="1:11">
      <c r="A31" s="54">
        <v>26</v>
      </c>
      <c r="B31" s="55" t="s">
        <v>20</v>
      </c>
      <c r="C31" s="56"/>
      <c r="D31" s="56"/>
      <c r="E31" s="50">
        <f t="shared" si="0"/>
        <v>0</v>
      </c>
      <c r="F31" s="50"/>
      <c r="G31" s="50"/>
      <c r="H31" s="50">
        <f t="shared" si="1"/>
        <v>0</v>
      </c>
      <c r="I31" s="66">
        <v>0.166666666666667</v>
      </c>
      <c r="J31" s="64">
        <f t="shared" si="2"/>
        <v>0</v>
      </c>
      <c r="K31" s="64">
        <f t="shared" si="3"/>
        <v>-0.166666666666667</v>
      </c>
    </row>
    <row r="32" spans="1:11">
      <c r="A32" s="52">
        <v>27</v>
      </c>
      <c r="B32" s="53" t="s">
        <v>14</v>
      </c>
      <c r="C32" s="51"/>
      <c r="D32" s="51"/>
      <c r="E32" s="51">
        <f t="shared" si="0"/>
        <v>0</v>
      </c>
      <c r="F32" s="51"/>
      <c r="G32" s="51"/>
      <c r="H32" s="51">
        <f t="shared" si="1"/>
        <v>0</v>
      </c>
      <c r="I32" s="65">
        <v>0</v>
      </c>
      <c r="J32" s="65">
        <f t="shared" si="2"/>
        <v>0</v>
      </c>
      <c r="K32" s="65">
        <f t="shared" si="3"/>
        <v>0</v>
      </c>
    </row>
    <row r="33" spans="1:11">
      <c r="A33" s="54">
        <v>28</v>
      </c>
      <c r="B33" s="55" t="s">
        <v>15</v>
      </c>
      <c r="C33" s="56"/>
      <c r="D33" s="56"/>
      <c r="E33" s="56">
        <f t="shared" si="0"/>
        <v>0</v>
      </c>
      <c r="F33" s="56"/>
      <c r="G33" s="56"/>
      <c r="H33" s="56">
        <f t="shared" si="1"/>
        <v>0</v>
      </c>
      <c r="I33" s="79"/>
      <c r="J33" s="79">
        <f t="shared" si="2"/>
        <v>0</v>
      </c>
      <c r="K33" s="79">
        <f t="shared" si="3"/>
        <v>0</v>
      </c>
    </row>
    <row r="34" spans="1:11">
      <c r="A34" s="48">
        <v>29</v>
      </c>
      <c r="B34" s="49" t="s">
        <v>16</v>
      </c>
      <c r="C34" s="50">
        <v>0.333333333333333</v>
      </c>
      <c r="D34" s="50">
        <v>0.479166666666667</v>
      </c>
      <c r="E34" s="50">
        <f t="shared" si="0"/>
        <v>0.145833333333334</v>
      </c>
      <c r="F34" s="50">
        <v>0.5625</v>
      </c>
      <c r="G34" s="50">
        <v>0.75</v>
      </c>
      <c r="H34" s="50">
        <f t="shared" si="1"/>
        <v>0.1875</v>
      </c>
      <c r="I34" s="64">
        <v>0.333333333333333</v>
      </c>
      <c r="J34" s="64">
        <f t="shared" si="2"/>
        <v>0.333333333333334</v>
      </c>
      <c r="K34" s="64">
        <f t="shared" si="3"/>
        <v>1.0547118733939e-15</v>
      </c>
    </row>
    <row r="35" spans="1:11">
      <c r="A35" s="48">
        <v>30</v>
      </c>
      <c r="B35" s="49" t="s">
        <v>17</v>
      </c>
      <c r="C35" s="50">
        <v>0.333333333333333</v>
      </c>
      <c r="D35" s="50">
        <v>0.479166666666667</v>
      </c>
      <c r="E35" s="50">
        <f t="shared" si="0"/>
        <v>0.145833333333334</v>
      </c>
      <c r="F35" s="50">
        <v>0.5625</v>
      </c>
      <c r="G35" s="50">
        <v>0.770833333333333</v>
      </c>
      <c r="H35" s="50">
        <f t="shared" si="1"/>
        <v>0.208333333333333</v>
      </c>
      <c r="I35" s="64">
        <v>0.333333333333333</v>
      </c>
      <c r="J35" s="64">
        <f t="shared" si="2"/>
        <v>0.354166666666667</v>
      </c>
      <c r="K35" s="64">
        <f t="shared" si="3"/>
        <v>0.0208333333333341</v>
      </c>
    </row>
    <row r="36" spans="1:11">
      <c r="A36" s="48">
        <v>31</v>
      </c>
      <c r="B36" s="49" t="s">
        <v>18</v>
      </c>
      <c r="C36" s="50">
        <v>0.375</v>
      </c>
      <c r="D36" s="50">
        <v>0.479166666666667</v>
      </c>
      <c r="E36" s="50">
        <f t="shared" si="0"/>
        <v>0.104166666666667</v>
      </c>
      <c r="F36" s="50">
        <v>0.5625</v>
      </c>
      <c r="G36" s="50">
        <v>0.75</v>
      </c>
      <c r="H36" s="50">
        <f t="shared" si="1"/>
        <v>0.1875</v>
      </c>
      <c r="I36" s="64">
        <v>0.333333333333333</v>
      </c>
      <c r="J36" s="64">
        <f t="shared" si="2"/>
        <v>0.291666666666667</v>
      </c>
      <c r="K36" s="64">
        <f t="shared" si="3"/>
        <v>-0.041666666666666</v>
      </c>
    </row>
    <row r="37" spans="1:11">
      <c r="A37" s="48"/>
      <c r="B37" s="48"/>
      <c r="C37" s="50"/>
      <c r="D37" s="50"/>
      <c r="E37" s="50"/>
      <c r="F37" s="50"/>
      <c r="G37" s="50"/>
      <c r="H37" s="50"/>
      <c r="I37" s="64">
        <f>SUM(I6:I36)</f>
        <v>7.66666666666666</v>
      </c>
      <c r="J37" s="64">
        <f>SUM(J6:J36)</f>
        <v>7.8888888888889</v>
      </c>
      <c r="K37" s="64">
        <f t="shared" si="3"/>
        <v>0.222222222222239</v>
      </c>
    </row>
    <row r="38" spans="1:11">
      <c r="A38" s="57"/>
      <c r="B38" s="57"/>
      <c r="C38" s="58"/>
      <c r="D38" s="58"/>
      <c r="E38" s="58"/>
      <c r="F38" s="58"/>
      <c r="G38" s="58"/>
      <c r="H38" s="58"/>
      <c r="I38" s="66"/>
      <c r="J38" s="68"/>
      <c r="K38" s="57"/>
    </row>
    <row r="39" spans="1:11">
      <c r="A39" s="59" t="s">
        <v>21</v>
      </c>
      <c r="B39" s="59"/>
      <c r="C39" s="58">
        <f>J37</f>
        <v>7.8888888888889</v>
      </c>
      <c r="D39" s="58"/>
      <c r="E39" s="58"/>
      <c r="F39" s="58"/>
      <c r="G39" s="58"/>
      <c r="H39" s="58"/>
      <c r="I39" s="68"/>
      <c r="J39" s="68"/>
      <c r="K39" s="57"/>
    </row>
    <row r="40" spans="1:11">
      <c r="A40" s="59" t="s">
        <v>22</v>
      </c>
      <c r="B40" s="59"/>
      <c r="C40" s="58">
        <f>I37</f>
        <v>7.66666666666666</v>
      </c>
      <c r="D40" s="60"/>
      <c r="E40" s="60"/>
      <c r="F40" s="60"/>
      <c r="G40" s="60"/>
      <c r="H40" s="60"/>
      <c r="I40" s="57"/>
      <c r="J40" s="57"/>
      <c r="K40" s="57"/>
    </row>
    <row r="41" spans="1:11">
      <c r="A41" s="61"/>
      <c r="B41" s="61"/>
      <c r="C41" s="60"/>
      <c r="D41" s="60"/>
      <c r="E41" s="60"/>
      <c r="F41" s="60"/>
      <c r="G41" s="60"/>
      <c r="H41" s="60"/>
      <c r="I41" s="57"/>
      <c r="J41" s="57"/>
      <c r="K41" s="57"/>
    </row>
    <row r="42" spans="1:11">
      <c r="A42" s="57"/>
      <c r="B42" s="57" t="s">
        <v>13</v>
      </c>
      <c r="C42" s="58">
        <f>C39-C40</f>
        <v>0.222222222222239</v>
      </c>
      <c r="D42" s="60"/>
      <c r="E42" s="60"/>
      <c r="F42" s="60"/>
      <c r="G42" s="60"/>
      <c r="H42" s="60"/>
      <c r="I42" s="57"/>
      <c r="J42" s="57"/>
      <c r="K42" s="57"/>
    </row>
    <row r="43" spans="1:11">
      <c r="A43" s="57"/>
      <c r="B43" s="57"/>
      <c r="C43" s="60"/>
      <c r="D43" s="60"/>
      <c r="E43" s="60"/>
      <c r="F43" s="60"/>
      <c r="G43" s="60"/>
      <c r="H43" s="60"/>
      <c r="I43" s="57"/>
      <c r="J43" s="57"/>
      <c r="K43" s="57"/>
    </row>
    <row r="44" spans="1:11">
      <c r="A44" s="62" t="s">
        <v>38</v>
      </c>
      <c r="B44" s="62"/>
      <c r="C44" s="62"/>
      <c r="D44" s="62"/>
      <c r="E44" s="62"/>
      <c r="F44" s="62"/>
      <c r="G44" s="62"/>
      <c r="H44" s="62"/>
      <c r="I44" s="62"/>
      <c r="J44" s="62"/>
      <c r="K44" s="57"/>
    </row>
    <row r="45" spans="1:11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</row>
  </sheetData>
  <mergeCells count="10">
    <mergeCell ref="A1:K1"/>
    <mergeCell ref="A2:B2"/>
    <mergeCell ref="C2:K2"/>
    <mergeCell ref="A3:B3"/>
    <mergeCell ref="C3:K3"/>
    <mergeCell ref="C4:E4"/>
    <mergeCell ref="F4:H4"/>
    <mergeCell ref="A39:B39"/>
    <mergeCell ref="A40:B40"/>
    <mergeCell ref="A44:J44"/>
  </mergeCells>
  <pageMargins left="0.511805555555555" right="0.511805555555555" top="0.7875" bottom="0.7875" header="0.511805555555555" footer="0.511805555555555"/>
  <pageSetup paperSize="9" firstPageNumber="0" orientation="portrait" useFirstPageNumber="1" horizontalDpi="300" verticalDpi="300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4"/>
  <sheetViews>
    <sheetView topLeftCell="A32" workbookViewId="0">
      <selection activeCell="K44" sqref="K44"/>
    </sheetView>
  </sheetViews>
  <sheetFormatPr defaultColWidth="9.01904761904762" defaultRowHeight="15"/>
  <cols>
    <col min="1" max="1" width="3.98095238095238" customWidth="1"/>
    <col min="2" max="2" width="12.4190476190476" customWidth="1"/>
  </cols>
  <sheetData>
    <row r="1" spans="1:12">
      <c r="A1" s="43" t="s">
        <v>27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69"/>
    </row>
    <row r="2" spans="1:12">
      <c r="A2" s="44" t="s">
        <v>1</v>
      </c>
      <c r="B2" s="44"/>
      <c r="C2" s="44" t="s">
        <v>28</v>
      </c>
      <c r="D2" s="44"/>
      <c r="E2" s="44"/>
      <c r="F2" s="44"/>
      <c r="G2" s="44"/>
      <c r="H2" s="44"/>
      <c r="I2" s="44"/>
      <c r="J2" s="44"/>
      <c r="K2" s="44"/>
      <c r="L2" s="69"/>
    </row>
    <row r="3" spans="1:12">
      <c r="A3" s="44" t="s">
        <v>3</v>
      </c>
      <c r="B3" s="44"/>
      <c r="C3" s="45" t="s">
        <v>43</v>
      </c>
      <c r="D3" s="45"/>
      <c r="E3" s="45"/>
      <c r="F3" s="45"/>
      <c r="G3" s="45"/>
      <c r="H3" s="45"/>
      <c r="I3" s="45"/>
      <c r="J3" s="45"/>
      <c r="K3" s="45"/>
      <c r="L3" s="69"/>
    </row>
    <row r="4" spans="1:12">
      <c r="A4" s="46"/>
      <c r="B4" s="46"/>
      <c r="C4" s="47" t="s">
        <v>5</v>
      </c>
      <c r="D4" s="47"/>
      <c r="E4" s="47"/>
      <c r="F4" s="47" t="s">
        <v>6</v>
      </c>
      <c r="G4" s="47"/>
      <c r="H4" s="47"/>
      <c r="I4" s="46"/>
      <c r="J4" s="46"/>
      <c r="K4" s="48"/>
      <c r="L4" s="69"/>
    </row>
    <row r="5" spans="1:12">
      <c r="A5" s="48"/>
      <c r="B5" s="43"/>
      <c r="C5" s="43" t="s">
        <v>7</v>
      </c>
      <c r="D5" s="43" t="s">
        <v>8</v>
      </c>
      <c r="E5" s="43" t="s">
        <v>9</v>
      </c>
      <c r="F5" s="43" t="s">
        <v>7</v>
      </c>
      <c r="G5" s="43" t="s">
        <v>10</v>
      </c>
      <c r="H5" s="43" t="s">
        <v>9</v>
      </c>
      <c r="I5" s="63" t="s">
        <v>11</v>
      </c>
      <c r="J5" s="63" t="s">
        <v>12</v>
      </c>
      <c r="K5" s="43" t="s">
        <v>13</v>
      </c>
      <c r="L5" s="69"/>
    </row>
    <row r="6" spans="1:12">
      <c r="A6" s="48">
        <v>1</v>
      </c>
      <c r="B6" s="49" t="s">
        <v>19</v>
      </c>
      <c r="C6" s="50">
        <v>0.333333333333333</v>
      </c>
      <c r="D6" s="50">
        <v>0.534722222222222</v>
      </c>
      <c r="E6" s="50">
        <f t="shared" ref="E6:E33" si="0">D6-C6</f>
        <v>0.201388888888889</v>
      </c>
      <c r="F6" s="50">
        <v>0.5625</v>
      </c>
      <c r="G6" s="50">
        <v>0.770833333333333</v>
      </c>
      <c r="H6" s="50">
        <f t="shared" ref="H6:H33" si="1">G6-F6</f>
        <v>0.208333333333333</v>
      </c>
      <c r="I6" s="64">
        <v>0.333333333333333</v>
      </c>
      <c r="J6" s="64">
        <f t="shared" ref="J6:J33" si="2">E6+H6</f>
        <v>0.409722222222222</v>
      </c>
      <c r="K6" s="64">
        <f t="shared" ref="K6:K33" si="3">J6-I6</f>
        <v>0.0763888888888891</v>
      </c>
      <c r="L6" s="69"/>
    </row>
    <row r="7" spans="1:12">
      <c r="A7" s="48">
        <v>2</v>
      </c>
      <c r="B7" s="49" t="s">
        <v>20</v>
      </c>
      <c r="C7" s="50">
        <v>0.333333333333333</v>
      </c>
      <c r="D7" s="50">
        <v>0.5</v>
      </c>
      <c r="E7" s="50">
        <f t="shared" si="0"/>
        <v>0.166666666666667</v>
      </c>
      <c r="F7" s="50"/>
      <c r="G7" s="50"/>
      <c r="H7" s="50">
        <f t="shared" si="1"/>
        <v>0</v>
      </c>
      <c r="I7" s="64">
        <v>0.166666666666667</v>
      </c>
      <c r="J7" s="64">
        <f t="shared" si="2"/>
        <v>0.166666666666667</v>
      </c>
      <c r="K7" s="64">
        <f t="shared" si="3"/>
        <v>0</v>
      </c>
      <c r="L7" s="69"/>
    </row>
    <row r="8" spans="1:12">
      <c r="A8" s="52">
        <v>3</v>
      </c>
      <c r="B8" s="53" t="s">
        <v>14</v>
      </c>
      <c r="C8" s="51">
        <v>0</v>
      </c>
      <c r="D8" s="51">
        <v>0</v>
      </c>
      <c r="E8" s="51">
        <f t="shared" si="0"/>
        <v>0</v>
      </c>
      <c r="F8" s="51">
        <v>0</v>
      </c>
      <c r="G8" s="51">
        <v>0</v>
      </c>
      <c r="H8" s="51">
        <f t="shared" si="1"/>
        <v>0</v>
      </c>
      <c r="I8" s="65">
        <v>0</v>
      </c>
      <c r="J8" s="65">
        <f t="shared" si="2"/>
        <v>0</v>
      </c>
      <c r="K8" s="65">
        <f t="shared" si="3"/>
        <v>0</v>
      </c>
      <c r="L8" s="69"/>
    </row>
    <row r="9" spans="1:12">
      <c r="A9" s="48">
        <v>4</v>
      </c>
      <c r="B9" s="49" t="s">
        <v>15</v>
      </c>
      <c r="C9" s="50">
        <v>0.333333333333333</v>
      </c>
      <c r="D9" s="50">
        <v>0.479166666666667</v>
      </c>
      <c r="E9" s="50">
        <f t="shared" si="0"/>
        <v>0.145833333333334</v>
      </c>
      <c r="F9" s="50">
        <v>0.5625</v>
      </c>
      <c r="G9" s="50">
        <v>0.75</v>
      </c>
      <c r="H9" s="50">
        <f t="shared" si="1"/>
        <v>0.1875</v>
      </c>
      <c r="I9" s="64">
        <v>0.333333333333333</v>
      </c>
      <c r="J9" s="64">
        <f t="shared" si="2"/>
        <v>0.333333333333334</v>
      </c>
      <c r="K9" s="64">
        <f t="shared" si="3"/>
        <v>1.0547118733939e-15</v>
      </c>
      <c r="L9" s="69"/>
    </row>
    <row r="10" spans="1:12">
      <c r="A10" s="48">
        <v>5</v>
      </c>
      <c r="B10" s="49" t="s">
        <v>16</v>
      </c>
      <c r="C10" s="50">
        <v>0.333333333333333</v>
      </c>
      <c r="D10" s="50">
        <v>0.479166666666667</v>
      </c>
      <c r="E10" s="50">
        <f t="shared" si="0"/>
        <v>0.145833333333334</v>
      </c>
      <c r="F10" s="50">
        <v>0.5625</v>
      </c>
      <c r="G10" s="50">
        <v>0.75</v>
      </c>
      <c r="H10" s="50">
        <f t="shared" si="1"/>
        <v>0.1875</v>
      </c>
      <c r="I10" s="66">
        <v>0.333333333333333</v>
      </c>
      <c r="J10" s="64">
        <f t="shared" si="2"/>
        <v>0.333333333333334</v>
      </c>
      <c r="K10" s="64">
        <f t="shared" si="3"/>
        <v>1.0547118733939e-15</v>
      </c>
      <c r="L10" s="69"/>
    </row>
    <row r="11" spans="1:12">
      <c r="A11" s="48">
        <v>6</v>
      </c>
      <c r="B11" s="49" t="s">
        <v>17</v>
      </c>
      <c r="C11" s="50">
        <v>0.333333333333333</v>
      </c>
      <c r="D11" s="50">
        <v>0.493055555555556</v>
      </c>
      <c r="E11" s="50">
        <f t="shared" si="0"/>
        <v>0.159722222222223</v>
      </c>
      <c r="F11" s="50">
        <v>0.569444444444444</v>
      </c>
      <c r="G11" s="50">
        <v>0.75</v>
      </c>
      <c r="H11" s="50">
        <f t="shared" si="1"/>
        <v>0.180555555555556</v>
      </c>
      <c r="I11" s="64">
        <v>0.333333333333333</v>
      </c>
      <c r="J11" s="64">
        <f t="shared" si="2"/>
        <v>0.340277777777779</v>
      </c>
      <c r="K11" s="64">
        <f t="shared" si="3"/>
        <v>0.00694444444444609</v>
      </c>
      <c r="L11" s="69"/>
    </row>
    <row r="12" spans="1:12">
      <c r="A12" s="48">
        <v>7</v>
      </c>
      <c r="B12" s="49" t="s">
        <v>18</v>
      </c>
      <c r="C12" s="50">
        <v>0.333333333333333</v>
      </c>
      <c r="D12" s="50">
        <v>0.479166666666667</v>
      </c>
      <c r="E12" s="50">
        <f t="shared" si="0"/>
        <v>0.145833333333334</v>
      </c>
      <c r="F12" s="50">
        <v>0.5625</v>
      </c>
      <c r="G12" s="50">
        <v>0.75</v>
      </c>
      <c r="H12" s="50">
        <f t="shared" si="1"/>
        <v>0.1875</v>
      </c>
      <c r="I12" s="64">
        <v>0.333333333333333</v>
      </c>
      <c r="J12" s="64">
        <f t="shared" si="2"/>
        <v>0.333333333333334</v>
      </c>
      <c r="K12" s="64">
        <f t="shared" si="3"/>
        <v>1.0547118733939e-15</v>
      </c>
      <c r="L12" s="69"/>
    </row>
    <row r="13" spans="1:12">
      <c r="A13" s="48">
        <v>8</v>
      </c>
      <c r="B13" s="49" t="s">
        <v>19</v>
      </c>
      <c r="C13" s="50">
        <v>0.333333333333333</v>
      </c>
      <c r="D13" s="50">
        <v>0.479166666666667</v>
      </c>
      <c r="E13" s="50">
        <f t="shared" si="0"/>
        <v>0.145833333333334</v>
      </c>
      <c r="F13" s="50">
        <v>0.5625</v>
      </c>
      <c r="G13" s="50">
        <v>0.625</v>
      </c>
      <c r="H13" s="50">
        <f t="shared" si="1"/>
        <v>0.0625</v>
      </c>
      <c r="I13" s="64">
        <v>0.333333333333333</v>
      </c>
      <c r="J13" s="64">
        <f t="shared" si="2"/>
        <v>0.208333333333334</v>
      </c>
      <c r="K13" s="64">
        <f t="shared" si="3"/>
        <v>-0.124999999999999</v>
      </c>
      <c r="L13" s="69"/>
    </row>
    <row r="14" spans="1:12">
      <c r="A14" s="48">
        <v>9</v>
      </c>
      <c r="B14" s="49" t="s">
        <v>20</v>
      </c>
      <c r="C14" s="50">
        <v>0.333333333333333</v>
      </c>
      <c r="D14" s="50">
        <v>0.541666666666667</v>
      </c>
      <c r="E14" s="50">
        <f t="shared" si="0"/>
        <v>0.208333333333334</v>
      </c>
      <c r="F14" s="50"/>
      <c r="G14" s="50"/>
      <c r="H14" s="50">
        <f t="shared" si="1"/>
        <v>0</v>
      </c>
      <c r="I14" s="64">
        <v>0.166666666666667</v>
      </c>
      <c r="J14" s="64">
        <f t="shared" si="2"/>
        <v>0.208333333333334</v>
      </c>
      <c r="K14" s="64">
        <f t="shared" si="3"/>
        <v>0.041666666666667</v>
      </c>
      <c r="L14" s="69"/>
    </row>
    <row r="15" spans="1:12">
      <c r="A15" s="52">
        <v>10</v>
      </c>
      <c r="B15" s="53" t="s">
        <v>14</v>
      </c>
      <c r="C15" s="51">
        <v>0</v>
      </c>
      <c r="D15" s="51">
        <v>0</v>
      </c>
      <c r="E15" s="51">
        <f t="shared" si="0"/>
        <v>0</v>
      </c>
      <c r="F15" s="51">
        <v>0</v>
      </c>
      <c r="G15" s="51">
        <v>0</v>
      </c>
      <c r="H15" s="51">
        <f t="shared" si="1"/>
        <v>0</v>
      </c>
      <c r="I15" s="65">
        <v>0</v>
      </c>
      <c r="J15" s="65">
        <f t="shared" si="2"/>
        <v>0</v>
      </c>
      <c r="K15" s="65">
        <f t="shared" si="3"/>
        <v>0</v>
      </c>
      <c r="L15" s="69"/>
    </row>
    <row r="16" spans="1:12">
      <c r="A16" s="48">
        <v>11</v>
      </c>
      <c r="B16" s="49" t="s">
        <v>15</v>
      </c>
      <c r="C16" s="50"/>
      <c r="D16" s="50"/>
      <c r="E16" s="50">
        <f t="shared" si="0"/>
        <v>0</v>
      </c>
      <c r="F16" s="50"/>
      <c r="G16" s="50"/>
      <c r="H16" s="50">
        <f t="shared" si="1"/>
        <v>0</v>
      </c>
      <c r="I16" s="64"/>
      <c r="J16" s="64">
        <f t="shared" si="2"/>
        <v>0</v>
      </c>
      <c r="K16" s="64">
        <f t="shared" si="3"/>
        <v>0</v>
      </c>
      <c r="L16" s="69"/>
    </row>
    <row r="17" spans="1:12">
      <c r="A17" s="52">
        <v>12</v>
      </c>
      <c r="B17" s="53" t="s">
        <v>16</v>
      </c>
      <c r="C17" s="51">
        <v>0</v>
      </c>
      <c r="D17" s="51">
        <v>0</v>
      </c>
      <c r="E17" s="51">
        <f t="shared" si="0"/>
        <v>0</v>
      </c>
      <c r="F17" s="51">
        <v>0</v>
      </c>
      <c r="G17" s="51">
        <v>0</v>
      </c>
      <c r="H17" s="51">
        <f t="shared" si="1"/>
        <v>0</v>
      </c>
      <c r="I17" s="70">
        <v>0</v>
      </c>
      <c r="J17" s="65">
        <f t="shared" si="2"/>
        <v>0</v>
      </c>
      <c r="K17" s="65">
        <f t="shared" si="3"/>
        <v>0</v>
      </c>
      <c r="L17" s="69"/>
    </row>
    <row r="18" spans="1:12">
      <c r="A18" s="48">
        <v>13</v>
      </c>
      <c r="B18" s="49" t="s">
        <v>17</v>
      </c>
      <c r="C18" s="51"/>
      <c r="D18" s="51"/>
      <c r="E18" s="50">
        <f t="shared" si="0"/>
        <v>0</v>
      </c>
      <c r="F18" s="50"/>
      <c r="G18" s="50"/>
      <c r="H18" s="50">
        <f t="shared" si="1"/>
        <v>0</v>
      </c>
      <c r="I18" s="64">
        <v>0.166666666666667</v>
      </c>
      <c r="J18" s="64">
        <f t="shared" si="2"/>
        <v>0</v>
      </c>
      <c r="K18" s="64">
        <f t="shared" si="3"/>
        <v>-0.166666666666667</v>
      </c>
      <c r="L18" s="69"/>
    </row>
    <row r="19" spans="1:12">
      <c r="A19" s="48">
        <v>14</v>
      </c>
      <c r="B19" s="49" t="s">
        <v>18</v>
      </c>
      <c r="C19" s="50">
        <v>0.333333333333333</v>
      </c>
      <c r="D19" s="50">
        <v>0.541666666666667</v>
      </c>
      <c r="E19" s="50">
        <f t="shared" si="0"/>
        <v>0.208333333333334</v>
      </c>
      <c r="F19" s="50">
        <v>0.5625</v>
      </c>
      <c r="G19" s="50">
        <v>0.791666666666667</v>
      </c>
      <c r="H19" s="50">
        <f t="shared" si="1"/>
        <v>0.229166666666667</v>
      </c>
      <c r="I19" s="64">
        <v>0.333333333333333</v>
      </c>
      <c r="J19" s="64">
        <f t="shared" si="2"/>
        <v>0.437500000000001</v>
      </c>
      <c r="K19" s="64">
        <f t="shared" si="3"/>
        <v>0.104166666666668</v>
      </c>
      <c r="L19" s="69"/>
    </row>
    <row r="20" spans="1:12">
      <c r="A20" s="48">
        <v>15</v>
      </c>
      <c r="B20" s="49" t="s">
        <v>19</v>
      </c>
      <c r="C20" s="50">
        <v>0.333333333333333</v>
      </c>
      <c r="D20" s="50">
        <v>0.53125</v>
      </c>
      <c r="E20" s="50">
        <f t="shared" si="0"/>
        <v>0.197916666666667</v>
      </c>
      <c r="F20" s="50">
        <v>0.555555555555556</v>
      </c>
      <c r="G20" s="50">
        <v>0.777777777777778</v>
      </c>
      <c r="H20" s="50">
        <f t="shared" si="1"/>
        <v>0.222222222222222</v>
      </c>
      <c r="I20" s="64">
        <v>0.333333333333333</v>
      </c>
      <c r="J20" s="64">
        <f t="shared" si="2"/>
        <v>0.420138888888889</v>
      </c>
      <c r="K20" s="64">
        <f t="shared" si="3"/>
        <v>0.086805555555556</v>
      </c>
      <c r="L20" s="69"/>
    </row>
    <row r="21" spans="1:12">
      <c r="A21" s="48">
        <v>16</v>
      </c>
      <c r="B21" s="49" t="s">
        <v>20</v>
      </c>
      <c r="C21" s="50">
        <v>0.333333333333333</v>
      </c>
      <c r="D21" s="50">
        <v>0.5</v>
      </c>
      <c r="E21" s="50">
        <f t="shared" si="0"/>
        <v>0.166666666666667</v>
      </c>
      <c r="F21" s="51"/>
      <c r="G21" s="51"/>
      <c r="H21" s="50">
        <f t="shared" si="1"/>
        <v>0</v>
      </c>
      <c r="I21" s="64">
        <v>0.166666666666667</v>
      </c>
      <c r="J21" s="64">
        <f t="shared" si="2"/>
        <v>0.166666666666667</v>
      </c>
      <c r="K21" s="64">
        <f t="shared" si="3"/>
        <v>0</v>
      </c>
      <c r="L21" s="69"/>
    </row>
    <row r="22" spans="1:12">
      <c r="A22" s="52">
        <v>17</v>
      </c>
      <c r="B22" s="53" t="s">
        <v>14</v>
      </c>
      <c r="C22" s="51">
        <v>0</v>
      </c>
      <c r="D22" s="51">
        <v>0</v>
      </c>
      <c r="E22" s="51">
        <f t="shared" si="0"/>
        <v>0</v>
      </c>
      <c r="F22" s="51">
        <v>0</v>
      </c>
      <c r="G22" s="51">
        <v>0</v>
      </c>
      <c r="H22" s="51">
        <f t="shared" si="1"/>
        <v>0</v>
      </c>
      <c r="I22" s="65">
        <v>0</v>
      </c>
      <c r="J22" s="65">
        <f t="shared" si="2"/>
        <v>0</v>
      </c>
      <c r="K22" s="65">
        <f t="shared" si="3"/>
        <v>0</v>
      </c>
      <c r="L22" s="69"/>
    </row>
    <row r="23" spans="1:12">
      <c r="A23" s="48">
        <v>18</v>
      </c>
      <c r="B23" s="49" t="s">
        <v>15</v>
      </c>
      <c r="C23" s="50">
        <v>0.333333333333333</v>
      </c>
      <c r="D23" s="50">
        <v>0.527777777777778</v>
      </c>
      <c r="E23" s="50">
        <f t="shared" si="0"/>
        <v>0.194444444444445</v>
      </c>
      <c r="F23" s="50">
        <v>0.572916666666667</v>
      </c>
      <c r="G23" s="50">
        <v>0.75</v>
      </c>
      <c r="H23" s="50">
        <f t="shared" si="1"/>
        <v>0.177083333333333</v>
      </c>
      <c r="I23" s="64">
        <v>0.333333333333333</v>
      </c>
      <c r="J23" s="64">
        <f t="shared" si="2"/>
        <v>0.371527777777778</v>
      </c>
      <c r="K23" s="64">
        <f t="shared" si="3"/>
        <v>0.0381944444444451</v>
      </c>
      <c r="L23" s="69"/>
    </row>
    <row r="24" spans="1:12">
      <c r="A24" s="48">
        <v>19</v>
      </c>
      <c r="B24" s="49" t="s">
        <v>16</v>
      </c>
      <c r="C24" s="50">
        <v>0.333333333333333</v>
      </c>
      <c r="D24" s="50">
        <v>0.479166666666667</v>
      </c>
      <c r="E24" s="50">
        <f t="shared" si="0"/>
        <v>0.145833333333334</v>
      </c>
      <c r="F24" s="50">
        <v>0.5625</v>
      </c>
      <c r="G24" s="50">
        <v>0.75</v>
      </c>
      <c r="H24" s="50">
        <f t="shared" si="1"/>
        <v>0.1875</v>
      </c>
      <c r="I24" s="66">
        <v>0.333333333333333</v>
      </c>
      <c r="J24" s="64">
        <f t="shared" si="2"/>
        <v>0.333333333333334</v>
      </c>
      <c r="K24" s="64">
        <f t="shared" si="3"/>
        <v>1.0547118733939e-15</v>
      </c>
      <c r="L24" s="69"/>
    </row>
    <row r="25" spans="1:12">
      <c r="A25" s="48">
        <v>20</v>
      </c>
      <c r="B25" s="49" t="s">
        <v>17</v>
      </c>
      <c r="C25" s="50">
        <v>0.322916666666667</v>
      </c>
      <c r="D25" s="50">
        <v>0.493055555555556</v>
      </c>
      <c r="E25" s="50">
        <f t="shared" si="0"/>
        <v>0.170138888888889</v>
      </c>
      <c r="F25" s="50">
        <v>0.5625</v>
      </c>
      <c r="G25" s="50">
        <v>0.75</v>
      </c>
      <c r="H25" s="50">
        <f t="shared" si="1"/>
        <v>0.1875</v>
      </c>
      <c r="I25" s="64">
        <v>0.333333333333333</v>
      </c>
      <c r="J25" s="64">
        <f t="shared" si="2"/>
        <v>0.357638888888889</v>
      </c>
      <c r="K25" s="64">
        <f t="shared" si="3"/>
        <v>0.024305555555556</v>
      </c>
      <c r="L25" s="69"/>
    </row>
    <row r="26" spans="1:12">
      <c r="A26" s="48">
        <v>21</v>
      </c>
      <c r="B26" s="49" t="s">
        <v>18</v>
      </c>
      <c r="C26" s="50">
        <v>0.319444444444444</v>
      </c>
      <c r="D26" s="50">
        <v>0.520833333333333</v>
      </c>
      <c r="E26" s="50">
        <f t="shared" si="0"/>
        <v>0.201388888888889</v>
      </c>
      <c r="F26" s="50">
        <v>0.5625</v>
      </c>
      <c r="G26" s="50">
        <v>0.767361111111111</v>
      </c>
      <c r="H26" s="50">
        <f t="shared" si="1"/>
        <v>0.204861111111111</v>
      </c>
      <c r="I26" s="64">
        <v>0.333333333333333</v>
      </c>
      <c r="J26" s="64">
        <f t="shared" si="2"/>
        <v>0.40625</v>
      </c>
      <c r="K26" s="64">
        <f t="shared" si="3"/>
        <v>0.0729166666666671</v>
      </c>
      <c r="L26" s="69"/>
    </row>
    <row r="27" spans="1:12">
      <c r="A27" s="48">
        <v>22</v>
      </c>
      <c r="B27" s="49" t="s">
        <v>19</v>
      </c>
      <c r="C27" s="50">
        <v>0.315972222222222</v>
      </c>
      <c r="D27" s="50">
        <v>0.479166666666667</v>
      </c>
      <c r="E27" s="50">
        <f t="shared" si="0"/>
        <v>0.163194444444445</v>
      </c>
      <c r="F27" s="50">
        <v>0.5625</v>
      </c>
      <c r="G27" s="50">
        <v>0.75</v>
      </c>
      <c r="H27" s="50">
        <f t="shared" si="1"/>
        <v>0.1875</v>
      </c>
      <c r="I27" s="64">
        <v>0.333333333333333</v>
      </c>
      <c r="J27" s="64">
        <f t="shared" si="2"/>
        <v>0.350694444444445</v>
      </c>
      <c r="K27" s="64">
        <f t="shared" si="3"/>
        <v>0.017361111111112</v>
      </c>
      <c r="L27" s="69"/>
    </row>
    <row r="28" spans="1:12">
      <c r="A28" s="48">
        <v>23</v>
      </c>
      <c r="B28" s="49" t="s">
        <v>20</v>
      </c>
      <c r="C28" s="50">
        <v>0.333333333333333</v>
      </c>
      <c r="D28" s="50">
        <v>0.395833333333333</v>
      </c>
      <c r="E28" s="50">
        <f t="shared" si="0"/>
        <v>0.0625</v>
      </c>
      <c r="F28" s="50"/>
      <c r="G28" s="50"/>
      <c r="H28" s="50">
        <f t="shared" si="1"/>
        <v>0</v>
      </c>
      <c r="I28" s="64">
        <v>0.166666666666667</v>
      </c>
      <c r="J28" s="64">
        <f t="shared" si="2"/>
        <v>0.0625</v>
      </c>
      <c r="K28" s="64">
        <f t="shared" si="3"/>
        <v>-0.104166666666667</v>
      </c>
      <c r="L28" s="69"/>
    </row>
    <row r="29" spans="1:12">
      <c r="A29" s="52">
        <v>24</v>
      </c>
      <c r="B29" s="53" t="s">
        <v>14</v>
      </c>
      <c r="C29" s="51">
        <v>0</v>
      </c>
      <c r="D29" s="51">
        <v>0</v>
      </c>
      <c r="E29" s="51">
        <f t="shared" si="0"/>
        <v>0</v>
      </c>
      <c r="F29" s="51">
        <v>0</v>
      </c>
      <c r="G29" s="51">
        <v>0</v>
      </c>
      <c r="H29" s="51">
        <f t="shared" si="1"/>
        <v>0</v>
      </c>
      <c r="I29" s="65">
        <v>0</v>
      </c>
      <c r="J29" s="65">
        <f t="shared" si="2"/>
        <v>0</v>
      </c>
      <c r="K29" s="65">
        <f t="shared" si="3"/>
        <v>0</v>
      </c>
      <c r="L29" s="69"/>
    </row>
    <row r="30" spans="1:12">
      <c r="A30" s="48">
        <v>25</v>
      </c>
      <c r="B30" s="49" t="s">
        <v>15</v>
      </c>
      <c r="C30" s="50">
        <v>0.333333333333333</v>
      </c>
      <c r="D30" s="50">
        <v>0.5625</v>
      </c>
      <c r="E30" s="50">
        <f t="shared" si="0"/>
        <v>0.229166666666667</v>
      </c>
      <c r="F30" s="50">
        <v>0.583333333333333</v>
      </c>
      <c r="G30" s="50">
        <v>0.75</v>
      </c>
      <c r="H30" s="50">
        <f t="shared" si="1"/>
        <v>0.166666666666667</v>
      </c>
      <c r="I30" s="64">
        <v>0.333333333333333</v>
      </c>
      <c r="J30" s="64">
        <f t="shared" si="2"/>
        <v>0.395833333333334</v>
      </c>
      <c r="K30" s="64">
        <f t="shared" si="3"/>
        <v>0.062500000000001</v>
      </c>
      <c r="L30" s="69"/>
    </row>
    <row r="31" spans="1:12">
      <c r="A31" s="48">
        <v>26</v>
      </c>
      <c r="B31" s="49" t="s">
        <v>16</v>
      </c>
      <c r="C31" s="50">
        <v>0.333333333333333</v>
      </c>
      <c r="D31" s="50">
        <v>0.479166666666667</v>
      </c>
      <c r="E31" s="50">
        <f t="shared" si="0"/>
        <v>0.145833333333334</v>
      </c>
      <c r="F31" s="50">
        <v>0.541666666666667</v>
      </c>
      <c r="G31" s="50">
        <v>0.770833333333333</v>
      </c>
      <c r="H31" s="50">
        <f t="shared" si="1"/>
        <v>0.229166666666666</v>
      </c>
      <c r="I31" s="66">
        <v>0.333333333333333</v>
      </c>
      <c r="J31" s="64">
        <f t="shared" si="2"/>
        <v>0.375</v>
      </c>
      <c r="K31" s="64">
        <f t="shared" si="3"/>
        <v>0.0416666666666671</v>
      </c>
      <c r="L31" s="69"/>
    </row>
    <row r="32" spans="1:12">
      <c r="A32" s="48">
        <v>27</v>
      </c>
      <c r="B32" s="49" t="s">
        <v>17</v>
      </c>
      <c r="C32" s="50">
        <v>0.3125</v>
      </c>
      <c r="D32" s="50">
        <v>0.479166666666667</v>
      </c>
      <c r="E32" s="50">
        <f t="shared" si="0"/>
        <v>0.166666666666667</v>
      </c>
      <c r="F32" s="50">
        <v>0.5625</v>
      </c>
      <c r="G32" s="50">
        <v>0.763888888888889</v>
      </c>
      <c r="H32" s="50">
        <f t="shared" si="1"/>
        <v>0.201388888888889</v>
      </c>
      <c r="I32" s="64">
        <v>0.333333333333333</v>
      </c>
      <c r="J32" s="64">
        <f t="shared" si="2"/>
        <v>0.368055555555556</v>
      </c>
      <c r="K32" s="64">
        <f t="shared" si="3"/>
        <v>0.034722222222223</v>
      </c>
      <c r="L32" s="69"/>
    </row>
    <row r="33" spans="1:12">
      <c r="A33" s="48">
        <v>28</v>
      </c>
      <c r="B33" s="49" t="s">
        <v>18</v>
      </c>
      <c r="C33" s="50">
        <v>0.3125</v>
      </c>
      <c r="D33" s="50">
        <v>0.479166666666667</v>
      </c>
      <c r="E33" s="50">
        <f t="shared" si="0"/>
        <v>0.166666666666667</v>
      </c>
      <c r="F33" s="50">
        <v>0.5625</v>
      </c>
      <c r="G33" s="50">
        <v>0.75</v>
      </c>
      <c r="H33" s="50">
        <f t="shared" si="1"/>
        <v>0.1875</v>
      </c>
      <c r="I33" s="64">
        <v>0.333333333333333</v>
      </c>
      <c r="J33" s="64">
        <f t="shared" si="2"/>
        <v>0.354166666666667</v>
      </c>
      <c r="K33" s="64">
        <f t="shared" si="3"/>
        <v>0.020833333333334</v>
      </c>
      <c r="L33" s="69"/>
    </row>
    <row r="34" spans="1:12">
      <c r="A34" s="48"/>
      <c r="B34" s="49"/>
      <c r="C34" s="50"/>
      <c r="D34" s="50"/>
      <c r="E34" s="50"/>
      <c r="F34" s="50"/>
      <c r="G34" s="50"/>
      <c r="H34" s="50"/>
      <c r="I34" s="64"/>
      <c r="J34" s="64"/>
      <c r="K34" s="64"/>
      <c r="L34" s="69"/>
    </row>
    <row r="35" spans="1:12">
      <c r="A35" s="48"/>
      <c r="B35" s="49"/>
      <c r="C35" s="50"/>
      <c r="D35" s="50"/>
      <c r="E35" s="50"/>
      <c r="F35" s="50"/>
      <c r="G35" s="50"/>
      <c r="H35" s="50"/>
      <c r="I35" s="64"/>
      <c r="J35" s="64"/>
      <c r="K35" s="64"/>
      <c r="L35" s="69"/>
    </row>
    <row r="36" spans="1:12">
      <c r="A36" s="48"/>
      <c r="B36" s="49"/>
      <c r="C36" s="50"/>
      <c r="D36" s="50"/>
      <c r="E36" s="50"/>
      <c r="F36" s="50"/>
      <c r="G36" s="50"/>
      <c r="H36" s="50"/>
      <c r="I36" s="64"/>
      <c r="J36" s="64"/>
      <c r="K36" s="64"/>
      <c r="L36" s="69"/>
    </row>
    <row r="37" spans="1:11">
      <c r="A37" s="48"/>
      <c r="B37" s="48"/>
      <c r="C37" s="50"/>
      <c r="D37" s="50"/>
      <c r="E37" s="50"/>
      <c r="F37" s="50"/>
      <c r="G37" s="50"/>
      <c r="H37" s="50"/>
      <c r="I37" s="64">
        <f>SUM(I6:I36)</f>
        <v>6.5</v>
      </c>
      <c r="J37" s="64">
        <f>SUM(J6:J36)</f>
        <v>6.7326388888889</v>
      </c>
      <c r="K37" s="64">
        <f>J37-I37</f>
        <v>0.232638888888902</v>
      </c>
    </row>
    <row r="38" spans="1:11">
      <c r="A38" s="57"/>
      <c r="B38" s="57"/>
      <c r="C38" s="58"/>
      <c r="D38" s="58"/>
      <c r="E38" s="58"/>
      <c r="F38" s="58"/>
      <c r="G38" s="58"/>
      <c r="H38" s="58"/>
      <c r="I38" s="66"/>
      <c r="J38" s="68"/>
      <c r="K38" s="57"/>
    </row>
    <row r="39" spans="1:11">
      <c r="A39" s="59" t="s">
        <v>21</v>
      </c>
      <c r="B39" s="59"/>
      <c r="C39" s="58">
        <f>J37</f>
        <v>6.7326388888889</v>
      </c>
      <c r="D39" s="58"/>
      <c r="E39" s="58"/>
      <c r="F39" s="58"/>
      <c r="G39" s="58"/>
      <c r="H39" s="58"/>
      <c r="I39" s="68"/>
      <c r="J39" s="68"/>
      <c r="K39" s="57"/>
    </row>
    <row r="40" spans="1:11">
      <c r="A40" s="59" t="s">
        <v>22</v>
      </c>
      <c r="B40" s="59"/>
      <c r="C40" s="58">
        <f>I37</f>
        <v>6.5</v>
      </c>
      <c r="D40" s="60"/>
      <c r="E40" s="60"/>
      <c r="F40" s="60"/>
      <c r="G40" s="60"/>
      <c r="H40" s="60"/>
      <c r="I40" s="57"/>
      <c r="J40" s="57"/>
      <c r="K40" s="57"/>
    </row>
    <row r="41" spans="1:11">
      <c r="A41" s="61"/>
      <c r="B41" s="61"/>
      <c r="C41" s="60"/>
      <c r="D41" s="60"/>
      <c r="E41" s="60"/>
      <c r="F41" s="60"/>
      <c r="G41" s="60"/>
      <c r="H41" s="60"/>
      <c r="I41" s="57"/>
      <c r="J41" s="57"/>
      <c r="K41" s="57"/>
    </row>
    <row r="42" spans="1:11">
      <c r="A42" s="57"/>
      <c r="B42" s="57" t="s">
        <v>13</v>
      </c>
      <c r="C42" s="58">
        <f>C39-C40</f>
        <v>0.232638888888902</v>
      </c>
      <c r="D42" s="60"/>
      <c r="E42" s="60"/>
      <c r="F42" s="60"/>
      <c r="G42" s="60"/>
      <c r="H42" s="60"/>
      <c r="I42" s="57"/>
      <c r="J42" s="57"/>
      <c r="K42" s="57"/>
    </row>
    <row r="43" spans="1:11">
      <c r="A43" s="57"/>
      <c r="B43" s="57"/>
      <c r="C43" s="60"/>
      <c r="D43" s="60"/>
      <c r="E43" s="60"/>
      <c r="F43" s="60"/>
      <c r="G43" s="60"/>
      <c r="H43" s="60"/>
      <c r="I43" s="57"/>
      <c r="J43" s="57"/>
      <c r="K43" s="57"/>
    </row>
    <row r="44" spans="1:11">
      <c r="A44" s="62" t="s">
        <v>38</v>
      </c>
      <c r="B44" s="62"/>
      <c r="C44" s="62"/>
      <c r="D44" s="62"/>
      <c r="E44" s="62"/>
      <c r="F44" s="62"/>
      <c r="G44" s="62"/>
      <c r="H44" s="62"/>
      <c r="I44" s="62"/>
      <c r="J44" s="62"/>
      <c r="K44" s="57"/>
    </row>
  </sheetData>
  <mergeCells count="10">
    <mergeCell ref="A1:K1"/>
    <mergeCell ref="A2:B2"/>
    <mergeCell ref="C2:K2"/>
    <mergeCell ref="A3:B3"/>
    <mergeCell ref="C3:K3"/>
    <mergeCell ref="C4:E4"/>
    <mergeCell ref="F4:H4"/>
    <mergeCell ref="A39:B39"/>
    <mergeCell ref="A40:B40"/>
    <mergeCell ref="A44:J44"/>
  </mergeCells>
  <pageMargins left="0.511805555555555" right="0.511805555555555" top="0.7875" bottom="0.7875" header="0.511805555555555" footer="0.511805555555555"/>
  <pageSetup paperSize="9" firstPageNumber="0" orientation="portrait" useFirstPageNumber="1" horizontalDpi="300" verticalDpi="3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"/>
  <sheetViews>
    <sheetView topLeftCell="A26" workbookViewId="0">
      <selection activeCell="A1" sqref="A1:K1"/>
    </sheetView>
  </sheetViews>
  <sheetFormatPr defaultColWidth="9.01904761904762" defaultRowHeight="15"/>
  <cols>
    <col min="1" max="1" width="2.84761904761905" customWidth="1"/>
    <col min="2" max="2" width="12.7142857142857" customWidth="1"/>
  </cols>
  <sheetData>
    <row r="1" spans="1:11">
      <c r="A1" s="43" t="s">
        <v>27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1:11">
      <c r="A2" s="44" t="s">
        <v>1</v>
      </c>
      <c r="B2" s="44"/>
      <c r="C2" s="44" t="s">
        <v>28</v>
      </c>
      <c r="D2" s="44"/>
      <c r="E2" s="44"/>
      <c r="F2" s="44"/>
      <c r="G2" s="44"/>
      <c r="H2" s="44"/>
      <c r="I2" s="44"/>
      <c r="J2" s="44"/>
      <c r="K2" s="44"/>
    </row>
    <row r="3" spans="1:11">
      <c r="A3" s="44" t="s">
        <v>3</v>
      </c>
      <c r="B3" s="44"/>
      <c r="C3" s="45" t="s">
        <v>44</v>
      </c>
      <c r="D3" s="45"/>
      <c r="E3" s="45"/>
      <c r="F3" s="45"/>
      <c r="G3" s="45"/>
      <c r="H3" s="45"/>
      <c r="I3" s="45"/>
      <c r="J3" s="45"/>
      <c r="K3" s="45"/>
    </row>
    <row r="4" spans="1:11">
      <c r="A4" s="46"/>
      <c r="B4" s="46"/>
      <c r="C4" s="47" t="s">
        <v>5</v>
      </c>
      <c r="D4" s="47"/>
      <c r="E4" s="47"/>
      <c r="F4" s="47" t="s">
        <v>6</v>
      </c>
      <c r="G4" s="47"/>
      <c r="H4" s="47"/>
      <c r="I4" s="46"/>
      <c r="J4" s="46"/>
      <c r="K4" s="48"/>
    </row>
    <row r="5" spans="1:11">
      <c r="A5" s="48"/>
      <c r="B5" s="43"/>
      <c r="C5" s="43" t="s">
        <v>7</v>
      </c>
      <c r="D5" s="43" t="s">
        <v>8</v>
      </c>
      <c r="E5" s="43" t="s">
        <v>9</v>
      </c>
      <c r="F5" s="43" t="s">
        <v>7</v>
      </c>
      <c r="G5" s="43" t="s">
        <v>10</v>
      </c>
      <c r="H5" s="43" t="s">
        <v>9</v>
      </c>
      <c r="I5" s="63" t="s">
        <v>11</v>
      </c>
      <c r="J5" s="63" t="s">
        <v>12</v>
      </c>
      <c r="K5" s="43" t="s">
        <v>13</v>
      </c>
    </row>
    <row r="6" spans="1:11">
      <c r="A6" s="48">
        <v>1</v>
      </c>
      <c r="B6" s="49" t="s">
        <v>19</v>
      </c>
      <c r="C6" s="50">
        <v>0.3125</v>
      </c>
      <c r="D6" s="50">
        <v>0.541666666666667</v>
      </c>
      <c r="E6" s="50">
        <f t="shared" ref="E6:E36" si="0">D6-C6</f>
        <v>0.229166666666667</v>
      </c>
      <c r="F6" s="50">
        <v>0.583333333333333</v>
      </c>
      <c r="G6" s="50">
        <v>0.791666666666667</v>
      </c>
      <c r="H6" s="50">
        <f t="shared" ref="H6:H36" si="1">G6-F6</f>
        <v>0.208333333333334</v>
      </c>
      <c r="I6" s="64">
        <v>0.333333333333333</v>
      </c>
      <c r="J6" s="64">
        <f t="shared" ref="J6:J36" si="2">E6+H6</f>
        <v>0.437500000000001</v>
      </c>
      <c r="K6" s="64">
        <f t="shared" ref="K6:K37" si="3">J6-I6</f>
        <v>0.104166666666668</v>
      </c>
    </row>
    <row r="7" spans="1:11">
      <c r="A7" s="48">
        <v>2</v>
      </c>
      <c r="B7" s="49" t="s">
        <v>20</v>
      </c>
      <c r="C7" s="50">
        <v>0.3125</v>
      </c>
      <c r="D7" s="50">
        <v>0.5</v>
      </c>
      <c r="E7" s="50">
        <f t="shared" si="0"/>
        <v>0.1875</v>
      </c>
      <c r="F7" s="51">
        <v>0</v>
      </c>
      <c r="G7" s="51">
        <v>0</v>
      </c>
      <c r="H7" s="50">
        <f t="shared" si="1"/>
        <v>0</v>
      </c>
      <c r="I7" s="64">
        <v>0.166666666666667</v>
      </c>
      <c r="J7" s="64">
        <f t="shared" si="2"/>
        <v>0.1875</v>
      </c>
      <c r="K7" s="64">
        <f t="shared" si="3"/>
        <v>0.020833333333333</v>
      </c>
    </row>
    <row r="8" spans="1:11">
      <c r="A8" s="52">
        <v>3</v>
      </c>
      <c r="B8" s="53" t="s">
        <v>14</v>
      </c>
      <c r="C8" s="51">
        <v>0</v>
      </c>
      <c r="D8" s="51">
        <v>0</v>
      </c>
      <c r="E8" s="51">
        <f t="shared" si="0"/>
        <v>0</v>
      </c>
      <c r="F8" s="51">
        <v>0</v>
      </c>
      <c r="G8" s="51">
        <v>0</v>
      </c>
      <c r="H8" s="51">
        <f t="shared" si="1"/>
        <v>0</v>
      </c>
      <c r="I8" s="65">
        <v>0</v>
      </c>
      <c r="J8" s="65">
        <f t="shared" si="2"/>
        <v>0</v>
      </c>
      <c r="K8" s="65">
        <f t="shared" si="3"/>
        <v>0</v>
      </c>
    </row>
    <row r="9" spans="1:11">
      <c r="A9" s="48">
        <v>4</v>
      </c>
      <c r="B9" s="49" t="s">
        <v>15</v>
      </c>
      <c r="C9" s="50">
        <v>0.3125</v>
      </c>
      <c r="D9" s="50">
        <v>0.489583333333333</v>
      </c>
      <c r="E9" s="50">
        <f t="shared" si="0"/>
        <v>0.177083333333333</v>
      </c>
      <c r="F9" s="50">
        <v>0.5625</v>
      </c>
      <c r="G9" s="50">
        <v>0.75</v>
      </c>
      <c r="H9" s="50">
        <f t="shared" si="1"/>
        <v>0.1875</v>
      </c>
      <c r="I9" s="64">
        <v>0.333333333333333</v>
      </c>
      <c r="J9" s="64">
        <f t="shared" si="2"/>
        <v>0.364583333333333</v>
      </c>
      <c r="K9" s="64">
        <f t="shared" si="3"/>
        <v>0.03125</v>
      </c>
    </row>
    <row r="10" spans="1:11">
      <c r="A10" s="48">
        <v>5</v>
      </c>
      <c r="B10" s="49" t="s">
        <v>16</v>
      </c>
      <c r="C10" s="50">
        <v>0.319444444444444</v>
      </c>
      <c r="D10" s="50">
        <v>0.5</v>
      </c>
      <c r="E10" s="50">
        <f t="shared" si="0"/>
        <v>0.180555555555556</v>
      </c>
      <c r="F10" s="50">
        <v>0.5625</v>
      </c>
      <c r="G10" s="50">
        <v>0.75</v>
      </c>
      <c r="H10" s="50">
        <f t="shared" si="1"/>
        <v>0.1875</v>
      </c>
      <c r="I10" s="66">
        <v>0.333333333333333</v>
      </c>
      <c r="J10" s="64">
        <f t="shared" si="2"/>
        <v>0.368055555555556</v>
      </c>
      <c r="K10" s="64">
        <f t="shared" si="3"/>
        <v>0.034722222222223</v>
      </c>
    </row>
    <row r="11" spans="1:11">
      <c r="A11" s="48">
        <v>6</v>
      </c>
      <c r="B11" s="49" t="s">
        <v>17</v>
      </c>
      <c r="C11" s="50">
        <v>0.3125</v>
      </c>
      <c r="D11" s="50">
        <v>0.479166666666667</v>
      </c>
      <c r="E11" s="50">
        <f t="shared" si="0"/>
        <v>0.166666666666667</v>
      </c>
      <c r="F11" s="50">
        <v>0.5625</v>
      </c>
      <c r="G11" s="50">
        <v>0.75</v>
      </c>
      <c r="H11" s="50">
        <f t="shared" si="1"/>
        <v>0.1875</v>
      </c>
      <c r="I11" s="64">
        <v>0.333333333333333</v>
      </c>
      <c r="J11" s="64">
        <f t="shared" si="2"/>
        <v>0.354166666666667</v>
      </c>
      <c r="K11" s="64">
        <f t="shared" si="3"/>
        <v>0.020833333333334</v>
      </c>
    </row>
    <row r="12" spans="1:11">
      <c r="A12" s="48">
        <v>7</v>
      </c>
      <c r="B12" s="49" t="s">
        <v>18</v>
      </c>
      <c r="C12" s="50">
        <v>0.319444444444444</v>
      </c>
      <c r="D12" s="50">
        <v>0.479166666666667</v>
      </c>
      <c r="E12" s="50">
        <f t="shared" si="0"/>
        <v>0.159722222222223</v>
      </c>
      <c r="F12" s="50">
        <v>0.5625</v>
      </c>
      <c r="G12" s="50">
        <v>0.75</v>
      </c>
      <c r="H12" s="50">
        <f t="shared" si="1"/>
        <v>0.1875</v>
      </c>
      <c r="I12" s="64">
        <v>0.333333333333333</v>
      </c>
      <c r="J12" s="64">
        <f t="shared" si="2"/>
        <v>0.347222222222223</v>
      </c>
      <c r="K12" s="64">
        <f t="shared" si="3"/>
        <v>0.0138888888888901</v>
      </c>
    </row>
    <row r="13" spans="1:11">
      <c r="A13" s="48">
        <v>8</v>
      </c>
      <c r="B13" s="49" t="s">
        <v>19</v>
      </c>
      <c r="C13" s="50">
        <v>0.333333333333333</v>
      </c>
      <c r="D13" s="50">
        <v>0.520833333333333</v>
      </c>
      <c r="E13" s="50">
        <f t="shared" si="0"/>
        <v>0.1875</v>
      </c>
      <c r="F13" s="50">
        <v>0.583333333333333</v>
      </c>
      <c r="G13" s="50">
        <v>0.75</v>
      </c>
      <c r="H13" s="50">
        <f t="shared" si="1"/>
        <v>0.166666666666667</v>
      </c>
      <c r="I13" s="64">
        <v>0.333333333333333</v>
      </c>
      <c r="J13" s="64">
        <f t="shared" si="2"/>
        <v>0.354166666666667</v>
      </c>
      <c r="K13" s="64">
        <f t="shared" si="3"/>
        <v>0.020833333333334</v>
      </c>
    </row>
    <row r="14" spans="1:11">
      <c r="A14" s="48">
        <v>9</v>
      </c>
      <c r="B14" s="49" t="s">
        <v>20</v>
      </c>
      <c r="C14" s="50">
        <v>0.333333333333333</v>
      </c>
      <c r="D14" s="50">
        <v>0.5</v>
      </c>
      <c r="E14" s="50">
        <f t="shared" si="0"/>
        <v>0.166666666666667</v>
      </c>
      <c r="F14" s="51">
        <v>0</v>
      </c>
      <c r="G14" s="51">
        <v>0</v>
      </c>
      <c r="H14" s="50">
        <f t="shared" si="1"/>
        <v>0</v>
      </c>
      <c r="I14" s="64">
        <v>0.166666666666667</v>
      </c>
      <c r="J14" s="64">
        <f t="shared" si="2"/>
        <v>0.166666666666667</v>
      </c>
      <c r="K14" s="64">
        <f t="shared" si="3"/>
        <v>0</v>
      </c>
    </row>
    <row r="15" spans="1:11">
      <c r="A15" s="52">
        <v>10</v>
      </c>
      <c r="B15" s="53" t="s">
        <v>14</v>
      </c>
      <c r="C15" s="51">
        <v>0</v>
      </c>
      <c r="D15" s="51">
        <v>0</v>
      </c>
      <c r="E15" s="51">
        <f t="shared" si="0"/>
        <v>0</v>
      </c>
      <c r="F15" s="51">
        <v>0</v>
      </c>
      <c r="G15" s="51">
        <v>0</v>
      </c>
      <c r="H15" s="51">
        <f t="shared" si="1"/>
        <v>0</v>
      </c>
      <c r="I15" s="65">
        <v>0</v>
      </c>
      <c r="J15" s="65">
        <f t="shared" si="2"/>
        <v>0</v>
      </c>
      <c r="K15" s="65">
        <f t="shared" si="3"/>
        <v>0</v>
      </c>
    </row>
    <row r="16" spans="1:11">
      <c r="A16" s="48">
        <v>11</v>
      </c>
      <c r="B16" s="49" t="s">
        <v>15</v>
      </c>
      <c r="C16" s="50">
        <v>0.333333333333333</v>
      </c>
      <c r="D16" s="50">
        <v>0.479166666666667</v>
      </c>
      <c r="E16" s="50">
        <f t="shared" si="0"/>
        <v>0.145833333333334</v>
      </c>
      <c r="F16" s="50">
        <v>0.5625</v>
      </c>
      <c r="G16" s="50">
        <v>0.75</v>
      </c>
      <c r="H16" s="50">
        <f t="shared" si="1"/>
        <v>0.1875</v>
      </c>
      <c r="I16" s="64">
        <v>0.333333333333333</v>
      </c>
      <c r="J16" s="64">
        <f t="shared" si="2"/>
        <v>0.333333333333334</v>
      </c>
      <c r="K16" s="64">
        <f t="shared" si="3"/>
        <v>1.0547118733939e-15</v>
      </c>
    </row>
    <row r="17" spans="1:11">
      <c r="A17" s="48">
        <v>12</v>
      </c>
      <c r="B17" s="49" t="s">
        <v>16</v>
      </c>
      <c r="C17" s="50">
        <v>0.333333333333333</v>
      </c>
      <c r="D17" s="50">
        <v>0.479166666666667</v>
      </c>
      <c r="E17" s="50">
        <f t="shared" si="0"/>
        <v>0.145833333333334</v>
      </c>
      <c r="F17" s="50">
        <v>0.5625</v>
      </c>
      <c r="G17" s="50">
        <v>0.75</v>
      </c>
      <c r="H17" s="50">
        <f t="shared" si="1"/>
        <v>0.1875</v>
      </c>
      <c r="I17" s="66">
        <v>0.333333333333333</v>
      </c>
      <c r="J17" s="64">
        <f t="shared" si="2"/>
        <v>0.333333333333334</v>
      </c>
      <c r="K17" s="64">
        <f t="shared" si="3"/>
        <v>1.0547118733939e-15</v>
      </c>
    </row>
    <row r="18" spans="1:11">
      <c r="A18" s="48">
        <v>13</v>
      </c>
      <c r="B18" s="49" t="s">
        <v>17</v>
      </c>
      <c r="C18" s="50">
        <v>0.333333333333333</v>
      </c>
      <c r="D18" s="50">
        <v>0.479166666666667</v>
      </c>
      <c r="E18" s="50">
        <f t="shared" si="0"/>
        <v>0.145833333333334</v>
      </c>
      <c r="F18" s="50">
        <v>0.5625</v>
      </c>
      <c r="G18" s="50">
        <v>0.75</v>
      </c>
      <c r="H18" s="50">
        <f t="shared" si="1"/>
        <v>0.1875</v>
      </c>
      <c r="I18" s="64">
        <v>0.333333333333333</v>
      </c>
      <c r="J18" s="64">
        <f t="shared" si="2"/>
        <v>0.333333333333334</v>
      </c>
      <c r="K18" s="64">
        <f t="shared" si="3"/>
        <v>1.0547118733939e-15</v>
      </c>
    </row>
    <row r="19" spans="1:11">
      <c r="A19" s="48">
        <v>14</v>
      </c>
      <c r="B19" s="49" t="s">
        <v>18</v>
      </c>
      <c r="C19" s="50">
        <v>0.336805555555556</v>
      </c>
      <c r="D19" s="50">
        <v>0.493055555555556</v>
      </c>
      <c r="E19" s="50">
        <f t="shared" si="0"/>
        <v>0.15625</v>
      </c>
      <c r="F19" s="50">
        <v>0.5625</v>
      </c>
      <c r="G19" s="50">
        <v>0.75</v>
      </c>
      <c r="H19" s="50">
        <f t="shared" si="1"/>
        <v>0.1875</v>
      </c>
      <c r="I19" s="64">
        <v>0.333333333333333</v>
      </c>
      <c r="J19" s="64">
        <f t="shared" si="2"/>
        <v>0.34375</v>
      </c>
      <c r="K19" s="64">
        <f t="shared" si="3"/>
        <v>0.010416666666667</v>
      </c>
    </row>
    <row r="20" spans="1:11">
      <c r="A20" s="48">
        <v>15</v>
      </c>
      <c r="B20" s="49" t="s">
        <v>19</v>
      </c>
      <c r="C20" s="50">
        <v>0.333333333333333</v>
      </c>
      <c r="D20" s="50">
        <v>0.5</v>
      </c>
      <c r="E20" s="50">
        <f t="shared" si="0"/>
        <v>0.166666666666667</v>
      </c>
      <c r="F20" s="50">
        <v>0.5625</v>
      </c>
      <c r="G20" s="50">
        <v>0.760416666666667</v>
      </c>
      <c r="H20" s="50">
        <f t="shared" si="1"/>
        <v>0.197916666666667</v>
      </c>
      <c r="I20" s="64">
        <v>0.333333333333333</v>
      </c>
      <c r="J20" s="64">
        <f t="shared" si="2"/>
        <v>0.364583333333334</v>
      </c>
      <c r="K20" s="64">
        <f t="shared" si="3"/>
        <v>0.031250000000001</v>
      </c>
    </row>
    <row r="21" spans="1:11">
      <c r="A21" s="48">
        <v>16</v>
      </c>
      <c r="B21" s="49" t="s">
        <v>20</v>
      </c>
      <c r="C21" s="50">
        <v>0.333333333333333</v>
      </c>
      <c r="D21" s="50">
        <v>0.5</v>
      </c>
      <c r="E21" s="50">
        <f t="shared" si="0"/>
        <v>0.166666666666667</v>
      </c>
      <c r="F21" s="51">
        <v>0</v>
      </c>
      <c r="G21" s="51">
        <v>0</v>
      </c>
      <c r="H21" s="50">
        <f t="shared" si="1"/>
        <v>0</v>
      </c>
      <c r="I21" s="64">
        <v>0.166666666666667</v>
      </c>
      <c r="J21" s="64">
        <f t="shared" si="2"/>
        <v>0.166666666666667</v>
      </c>
      <c r="K21" s="64">
        <f t="shared" si="3"/>
        <v>0</v>
      </c>
    </row>
    <row r="22" spans="1:11">
      <c r="A22" s="52">
        <v>17</v>
      </c>
      <c r="B22" s="53" t="s">
        <v>14</v>
      </c>
      <c r="C22" s="51">
        <v>0</v>
      </c>
      <c r="D22" s="51">
        <v>0</v>
      </c>
      <c r="E22" s="51">
        <f t="shared" si="0"/>
        <v>0</v>
      </c>
      <c r="F22" s="51">
        <v>0</v>
      </c>
      <c r="G22" s="51">
        <v>0</v>
      </c>
      <c r="H22" s="51">
        <f t="shared" si="1"/>
        <v>0</v>
      </c>
      <c r="I22" s="65">
        <v>0</v>
      </c>
      <c r="J22" s="65">
        <f t="shared" si="2"/>
        <v>0</v>
      </c>
      <c r="K22" s="65">
        <f t="shared" si="3"/>
        <v>0</v>
      </c>
    </row>
    <row r="23" spans="1:11">
      <c r="A23" s="48">
        <v>18</v>
      </c>
      <c r="B23" s="49" t="s">
        <v>15</v>
      </c>
      <c r="C23" s="50">
        <v>0.333333333333333</v>
      </c>
      <c r="D23" s="50">
        <v>0.479166666666667</v>
      </c>
      <c r="E23" s="50">
        <f t="shared" si="0"/>
        <v>0.145833333333334</v>
      </c>
      <c r="F23" s="50">
        <v>0.5625</v>
      </c>
      <c r="G23" s="50">
        <v>0.75</v>
      </c>
      <c r="H23" s="50">
        <f t="shared" si="1"/>
        <v>0.1875</v>
      </c>
      <c r="I23" s="64">
        <v>0.333333333333333</v>
      </c>
      <c r="J23" s="64">
        <f t="shared" si="2"/>
        <v>0.333333333333334</v>
      </c>
      <c r="K23" s="64">
        <f t="shared" si="3"/>
        <v>1.0547118733939e-15</v>
      </c>
    </row>
    <row r="24" spans="1:11">
      <c r="A24" s="48">
        <v>19</v>
      </c>
      <c r="B24" s="49" t="s">
        <v>16</v>
      </c>
      <c r="C24" s="50">
        <v>0.333333333333333</v>
      </c>
      <c r="D24" s="50">
        <v>0.479166666666667</v>
      </c>
      <c r="E24" s="50">
        <f t="shared" si="0"/>
        <v>0.145833333333334</v>
      </c>
      <c r="F24" s="50">
        <v>0.5625</v>
      </c>
      <c r="G24" s="50">
        <v>0.75</v>
      </c>
      <c r="H24" s="50">
        <f t="shared" si="1"/>
        <v>0.1875</v>
      </c>
      <c r="I24" s="66">
        <v>0.333333333333333</v>
      </c>
      <c r="J24" s="64">
        <f t="shared" si="2"/>
        <v>0.333333333333334</v>
      </c>
      <c r="K24" s="64">
        <f t="shared" si="3"/>
        <v>1.0547118733939e-15</v>
      </c>
    </row>
    <row r="25" spans="1:11">
      <c r="A25" s="48">
        <v>20</v>
      </c>
      <c r="B25" s="49" t="s">
        <v>17</v>
      </c>
      <c r="C25" s="50">
        <v>0.340277777777778</v>
      </c>
      <c r="D25" s="50">
        <v>0.479166666666667</v>
      </c>
      <c r="E25" s="50">
        <f t="shared" si="0"/>
        <v>0.138888888888889</v>
      </c>
      <c r="F25" s="50">
        <v>0.5625</v>
      </c>
      <c r="G25" s="50">
        <v>0.75</v>
      </c>
      <c r="H25" s="50">
        <f t="shared" si="1"/>
        <v>0.1875</v>
      </c>
      <c r="I25" s="64">
        <v>0.333333333333333</v>
      </c>
      <c r="J25" s="64">
        <f t="shared" si="2"/>
        <v>0.326388888888889</v>
      </c>
      <c r="K25" s="64">
        <f t="shared" si="3"/>
        <v>-0.00694444444444398</v>
      </c>
    </row>
    <row r="26" spans="1:11">
      <c r="A26" s="48">
        <v>21</v>
      </c>
      <c r="B26" s="49" t="s">
        <v>18</v>
      </c>
      <c r="C26" s="50">
        <v>0.333333333333333</v>
      </c>
      <c r="D26" s="50">
        <v>0.479166666666667</v>
      </c>
      <c r="E26" s="50">
        <f t="shared" si="0"/>
        <v>0.145833333333334</v>
      </c>
      <c r="F26" s="50">
        <v>0.5625</v>
      </c>
      <c r="G26" s="50">
        <v>0.75</v>
      </c>
      <c r="H26" s="50">
        <f t="shared" si="1"/>
        <v>0.1875</v>
      </c>
      <c r="I26" s="64">
        <v>0.333333333333333</v>
      </c>
      <c r="J26" s="64">
        <f t="shared" si="2"/>
        <v>0.333333333333334</v>
      </c>
      <c r="K26" s="64">
        <f t="shared" si="3"/>
        <v>1.0547118733939e-15</v>
      </c>
    </row>
    <row r="27" spans="1:11">
      <c r="A27" s="48">
        <v>22</v>
      </c>
      <c r="B27" s="49" t="s">
        <v>19</v>
      </c>
      <c r="C27" s="50">
        <v>0.319444444444444</v>
      </c>
      <c r="D27" s="50">
        <v>0.479166666666667</v>
      </c>
      <c r="E27" s="50">
        <f t="shared" si="0"/>
        <v>0.159722222222223</v>
      </c>
      <c r="F27" s="50">
        <v>0.5625</v>
      </c>
      <c r="G27" s="50">
        <v>0.75</v>
      </c>
      <c r="H27" s="50">
        <f t="shared" si="1"/>
        <v>0.1875</v>
      </c>
      <c r="I27" s="64">
        <v>0.333333333333333</v>
      </c>
      <c r="J27" s="64">
        <f t="shared" si="2"/>
        <v>0.347222222222223</v>
      </c>
      <c r="K27" s="64">
        <f t="shared" si="3"/>
        <v>0.0138888888888901</v>
      </c>
    </row>
    <row r="28" spans="1:11">
      <c r="A28" s="48">
        <v>23</v>
      </c>
      <c r="B28" s="49" t="s">
        <v>20</v>
      </c>
      <c r="C28" s="50"/>
      <c r="D28" s="50"/>
      <c r="E28" s="50">
        <f t="shared" si="0"/>
        <v>0</v>
      </c>
      <c r="F28" s="51">
        <v>0</v>
      </c>
      <c r="G28" s="51">
        <v>0</v>
      </c>
      <c r="H28" s="50">
        <f t="shared" si="1"/>
        <v>0</v>
      </c>
      <c r="I28" s="64">
        <v>0</v>
      </c>
      <c r="J28" s="64">
        <f t="shared" si="2"/>
        <v>0</v>
      </c>
      <c r="K28" s="64">
        <f t="shared" si="3"/>
        <v>0</v>
      </c>
    </row>
    <row r="29" spans="1:11">
      <c r="A29" s="52">
        <v>24</v>
      </c>
      <c r="B29" s="53" t="s">
        <v>14</v>
      </c>
      <c r="C29" s="51"/>
      <c r="D29" s="51"/>
      <c r="E29" s="51">
        <f t="shared" si="0"/>
        <v>0</v>
      </c>
      <c r="F29" s="51">
        <v>0</v>
      </c>
      <c r="G29" s="51">
        <v>0</v>
      </c>
      <c r="H29" s="51">
        <f t="shared" si="1"/>
        <v>0</v>
      </c>
      <c r="I29" s="65">
        <v>0</v>
      </c>
      <c r="J29" s="65">
        <f t="shared" si="2"/>
        <v>0</v>
      </c>
      <c r="K29" s="65">
        <f t="shared" si="3"/>
        <v>0</v>
      </c>
    </row>
    <row r="30" spans="1:11">
      <c r="A30" s="48">
        <v>25</v>
      </c>
      <c r="B30" s="49" t="s">
        <v>15</v>
      </c>
      <c r="C30" s="50">
        <v>0.333333333333333</v>
      </c>
      <c r="D30" s="50">
        <v>0.479166666666667</v>
      </c>
      <c r="E30" s="50">
        <f t="shared" si="0"/>
        <v>0.145833333333334</v>
      </c>
      <c r="F30" s="50">
        <v>0.5625</v>
      </c>
      <c r="G30" s="50">
        <v>0.75</v>
      </c>
      <c r="H30" s="50">
        <f t="shared" si="1"/>
        <v>0.1875</v>
      </c>
      <c r="I30" s="64">
        <v>0.333333333333333</v>
      </c>
      <c r="J30" s="64">
        <f t="shared" si="2"/>
        <v>0.333333333333334</v>
      </c>
      <c r="K30" s="64">
        <f t="shared" si="3"/>
        <v>1.0547118733939e-15</v>
      </c>
    </row>
    <row r="31" spans="1:11">
      <c r="A31" s="54">
        <v>26</v>
      </c>
      <c r="B31" s="55" t="s">
        <v>16</v>
      </c>
      <c r="C31" s="56">
        <v>0.333333333333333</v>
      </c>
      <c r="D31" s="56">
        <v>0.5</v>
      </c>
      <c r="E31" s="50">
        <f t="shared" si="0"/>
        <v>0.166666666666667</v>
      </c>
      <c r="F31" s="50">
        <v>0.5625</v>
      </c>
      <c r="G31" s="50">
        <v>0.763888888888889</v>
      </c>
      <c r="H31" s="50">
        <f t="shared" si="1"/>
        <v>0.201388888888889</v>
      </c>
      <c r="I31" s="66">
        <v>0.333333333333333</v>
      </c>
      <c r="J31" s="64">
        <f t="shared" si="2"/>
        <v>0.368055555555556</v>
      </c>
      <c r="K31" s="64">
        <f t="shared" si="3"/>
        <v>0.034722222222223</v>
      </c>
    </row>
    <row r="32" spans="1:11">
      <c r="A32" s="48">
        <v>27</v>
      </c>
      <c r="B32" s="49" t="s">
        <v>17</v>
      </c>
      <c r="C32" s="50">
        <v>0.333333333333333</v>
      </c>
      <c r="D32" s="50">
        <v>0.458333333333333</v>
      </c>
      <c r="E32" s="50">
        <f t="shared" si="0"/>
        <v>0.125</v>
      </c>
      <c r="F32" s="50">
        <v>0.5625</v>
      </c>
      <c r="G32" s="50">
        <v>0.75</v>
      </c>
      <c r="H32" s="50">
        <f t="shared" si="1"/>
        <v>0.1875</v>
      </c>
      <c r="I32" s="64">
        <v>0.333333333333333</v>
      </c>
      <c r="J32" s="64">
        <f t="shared" si="2"/>
        <v>0.3125</v>
      </c>
      <c r="K32" s="64">
        <f t="shared" si="3"/>
        <v>-0.020833333333333</v>
      </c>
    </row>
    <row r="33" spans="1:11">
      <c r="A33" s="48">
        <v>28</v>
      </c>
      <c r="B33" s="49" t="s">
        <v>18</v>
      </c>
      <c r="C33" s="50">
        <v>0.322916666666667</v>
      </c>
      <c r="D33" s="50">
        <v>0.479166666666667</v>
      </c>
      <c r="E33" s="50">
        <f t="shared" si="0"/>
        <v>0.15625</v>
      </c>
      <c r="F33" s="50">
        <v>0.5625</v>
      </c>
      <c r="G33" s="50">
        <v>0.763888888888889</v>
      </c>
      <c r="H33" s="50">
        <f t="shared" si="1"/>
        <v>0.201388888888889</v>
      </c>
      <c r="I33" s="64">
        <v>0.333333333333333</v>
      </c>
      <c r="J33" s="64">
        <f t="shared" si="2"/>
        <v>0.357638888888889</v>
      </c>
      <c r="K33" s="64">
        <f t="shared" si="3"/>
        <v>0.024305555555556</v>
      </c>
    </row>
    <row r="34" spans="1:11">
      <c r="A34" s="52">
        <v>29</v>
      </c>
      <c r="B34" s="53" t="s">
        <v>19</v>
      </c>
      <c r="C34" s="51"/>
      <c r="D34" s="51"/>
      <c r="E34" s="51">
        <f t="shared" si="0"/>
        <v>0</v>
      </c>
      <c r="F34" s="51"/>
      <c r="G34" s="51"/>
      <c r="H34" s="51">
        <f t="shared" si="1"/>
        <v>0</v>
      </c>
      <c r="I34" s="65">
        <v>0</v>
      </c>
      <c r="J34" s="65">
        <f t="shared" si="2"/>
        <v>0</v>
      </c>
      <c r="K34" s="65">
        <f t="shared" si="3"/>
        <v>0</v>
      </c>
    </row>
    <row r="35" spans="1:11">
      <c r="A35" s="48">
        <v>30</v>
      </c>
      <c r="B35" s="49" t="s">
        <v>20</v>
      </c>
      <c r="C35" s="50">
        <v>0.333333333333333</v>
      </c>
      <c r="D35" s="50">
        <v>0.5</v>
      </c>
      <c r="E35" s="50">
        <f t="shared" si="0"/>
        <v>0.166666666666667</v>
      </c>
      <c r="F35" s="51"/>
      <c r="G35" s="51"/>
      <c r="H35" s="50">
        <f t="shared" si="1"/>
        <v>0</v>
      </c>
      <c r="I35" s="64">
        <v>0.166666666666667</v>
      </c>
      <c r="J35" s="64">
        <f t="shared" si="2"/>
        <v>0.166666666666667</v>
      </c>
      <c r="K35" s="64">
        <f t="shared" si="3"/>
        <v>0</v>
      </c>
    </row>
    <row r="36" spans="1:11">
      <c r="A36" s="52">
        <v>31</v>
      </c>
      <c r="B36" s="53" t="s">
        <v>14</v>
      </c>
      <c r="C36" s="51"/>
      <c r="D36" s="51"/>
      <c r="E36" s="51">
        <f t="shared" si="0"/>
        <v>0</v>
      </c>
      <c r="F36" s="51"/>
      <c r="G36" s="51"/>
      <c r="H36" s="51">
        <f t="shared" si="1"/>
        <v>0</v>
      </c>
      <c r="I36" s="65">
        <v>0</v>
      </c>
      <c r="J36" s="65">
        <f t="shared" si="2"/>
        <v>0</v>
      </c>
      <c r="K36" s="65">
        <f t="shared" si="3"/>
        <v>0</v>
      </c>
    </row>
    <row r="37" spans="1:11">
      <c r="A37" s="48"/>
      <c r="B37" s="48"/>
      <c r="C37" s="50"/>
      <c r="D37" s="50"/>
      <c r="E37" s="50"/>
      <c r="F37" s="50"/>
      <c r="G37" s="50"/>
      <c r="H37" s="50"/>
      <c r="I37" s="64">
        <f>SUM(I6:I36)</f>
        <v>7.33333333333333</v>
      </c>
      <c r="J37" s="64">
        <f>SUM(J6:J36)</f>
        <v>7.66666666666668</v>
      </c>
      <c r="K37" s="64">
        <f t="shared" si="3"/>
        <v>0.333333333333349</v>
      </c>
    </row>
    <row r="38" spans="1:11">
      <c r="A38" s="57"/>
      <c r="B38" s="57"/>
      <c r="C38" s="58"/>
      <c r="D38" s="58"/>
      <c r="E38" s="58"/>
      <c r="F38" s="58"/>
      <c r="G38" s="58"/>
      <c r="H38" s="58"/>
      <c r="I38" s="67"/>
      <c r="J38" s="68"/>
      <c r="K38" s="57"/>
    </row>
    <row r="39" spans="1:11">
      <c r="A39" s="59" t="s">
        <v>21</v>
      </c>
      <c r="B39" s="59"/>
      <c r="C39" s="58">
        <f>J37</f>
        <v>7.66666666666668</v>
      </c>
      <c r="D39" s="58"/>
      <c r="E39" s="58"/>
      <c r="F39" s="58"/>
      <c r="G39" s="58"/>
      <c r="H39" s="58"/>
      <c r="I39" s="68"/>
      <c r="J39" s="68"/>
      <c r="K39" s="57"/>
    </row>
    <row r="40" spans="1:11">
      <c r="A40" s="59" t="s">
        <v>22</v>
      </c>
      <c r="B40" s="59"/>
      <c r="C40" s="58">
        <f>I37</f>
        <v>7.33333333333333</v>
      </c>
      <c r="D40" s="60"/>
      <c r="E40" s="60"/>
      <c r="F40" s="60"/>
      <c r="G40" s="60"/>
      <c r="H40" s="60"/>
      <c r="I40" s="57"/>
      <c r="J40" s="57"/>
      <c r="K40" s="57"/>
    </row>
    <row r="41" spans="1:11">
      <c r="A41" s="61"/>
      <c r="B41" s="61"/>
      <c r="C41" s="60"/>
      <c r="D41" s="60"/>
      <c r="E41" s="60"/>
      <c r="F41" s="60"/>
      <c r="G41" s="60"/>
      <c r="H41" s="60"/>
      <c r="I41" s="57"/>
      <c r="J41" s="57"/>
      <c r="K41" s="57"/>
    </row>
    <row r="42" spans="1:11">
      <c r="A42" s="57"/>
      <c r="B42" s="57" t="s">
        <v>13</v>
      </c>
      <c r="C42" s="58">
        <f>C39-C40</f>
        <v>0.333333333333349</v>
      </c>
      <c r="D42" s="60"/>
      <c r="E42" s="60"/>
      <c r="F42" s="60"/>
      <c r="G42" s="60"/>
      <c r="H42" s="60"/>
      <c r="I42" s="57"/>
      <c r="J42" s="57"/>
      <c r="K42" s="57"/>
    </row>
    <row r="43" spans="1:11">
      <c r="A43" s="57"/>
      <c r="B43" s="57"/>
      <c r="C43" s="60"/>
      <c r="D43" s="60"/>
      <c r="E43" s="60"/>
      <c r="F43" s="60"/>
      <c r="G43" s="60"/>
      <c r="H43" s="60"/>
      <c r="I43" s="57"/>
      <c r="J43" s="57"/>
      <c r="K43" s="57"/>
    </row>
    <row r="44" spans="1:11">
      <c r="A44" s="62" t="s">
        <v>45</v>
      </c>
      <c r="B44" s="62"/>
      <c r="C44" s="62"/>
      <c r="D44" s="62"/>
      <c r="E44" s="62"/>
      <c r="F44" s="62"/>
      <c r="G44" s="62"/>
      <c r="H44" s="62"/>
      <c r="I44" s="62"/>
      <c r="J44" s="62"/>
      <c r="K44" s="57"/>
    </row>
  </sheetData>
  <mergeCells count="10">
    <mergeCell ref="A1:K1"/>
    <mergeCell ref="A2:B2"/>
    <mergeCell ref="C2:K2"/>
    <mergeCell ref="A3:B3"/>
    <mergeCell ref="C3:K3"/>
    <mergeCell ref="C4:E4"/>
    <mergeCell ref="F4:H4"/>
    <mergeCell ref="A39:B39"/>
    <mergeCell ref="A40:B40"/>
    <mergeCell ref="A44:J44"/>
  </mergeCells>
  <pageMargins left="0.511805555555555" right="0.511805555555555" top="0.7875" bottom="0.7875" header="0.511805555555555" footer="0.511805555555555"/>
  <pageSetup paperSize="9" firstPageNumber="0" orientation="portrait" useFirstPageNumber="1" horizontalDpi="300" verticalDpi="300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J46"/>
  <sheetViews>
    <sheetView tabSelected="1" topLeftCell="A28" workbookViewId="0">
      <selection activeCell="C41" sqref="C41"/>
    </sheetView>
  </sheetViews>
  <sheetFormatPr defaultColWidth="9.15238095238095" defaultRowHeight="15"/>
  <cols>
    <col min="1" max="1" width="9" style="2" customWidth="1"/>
    <col min="2" max="2" width="19.7142857142857" style="3" customWidth="1"/>
    <col min="3" max="3" width="13.4285714285714" style="4" customWidth="1"/>
    <col min="4" max="4" width="14.4285714285714" style="4" customWidth="1"/>
    <col min="5" max="5" width="14.8571428571429" style="4" customWidth="1"/>
    <col min="6" max="6" width="13.5714285714286" style="4" customWidth="1"/>
    <col min="7" max="7" width="14.0095238095238" style="4" customWidth="1"/>
    <col min="8" max="8" width="12.4190476190476" style="4" customWidth="1"/>
    <col min="9" max="10" width="15.152380952381" style="4" customWidth="1"/>
    <col min="11" max="11" width="15.5714285714286" style="4" customWidth="1"/>
    <col min="12" max="12" width="15.6761904761905" style="4" customWidth="1"/>
    <col min="13" max="13" width="12.7142857142857" style="4" customWidth="1"/>
    <col min="14" max="1024" width="9.13333333333333" style="4"/>
    <col min="1025" max="16384" width="9.15238095238095" style="5"/>
  </cols>
  <sheetData>
    <row r="1" customHeight="1"/>
    <row r="2" customHeight="1" spans="1:11">
      <c r="A2" s="6" t="s">
        <v>46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customHeight="1" spans="1:11">
      <c r="A3" s="8"/>
      <c r="B3" s="9" t="s">
        <v>47</v>
      </c>
      <c r="C3" s="10" t="s">
        <v>48</v>
      </c>
      <c r="D3" s="10"/>
      <c r="E3" s="10"/>
      <c r="F3" s="10"/>
      <c r="G3" s="10"/>
      <c r="H3" s="10"/>
      <c r="I3" s="10"/>
      <c r="J3" s="10"/>
      <c r="K3" s="10"/>
    </row>
    <row r="4" customHeight="1" spans="1:11">
      <c r="A4" s="8"/>
      <c r="B4" s="9" t="s">
        <v>49</v>
      </c>
      <c r="C4" s="11" t="s">
        <v>50</v>
      </c>
      <c r="D4" s="11"/>
      <c r="E4" s="11"/>
      <c r="F4" s="11"/>
      <c r="G4" s="11"/>
      <c r="H4" s="11"/>
      <c r="I4" s="11"/>
      <c r="J4" s="11"/>
      <c r="K4" s="11"/>
    </row>
    <row r="5" customHeight="1" spans="1:11">
      <c r="A5" s="12"/>
      <c r="B5" s="13"/>
      <c r="C5" s="14" t="s">
        <v>51</v>
      </c>
      <c r="D5" s="14"/>
      <c r="E5" s="14"/>
      <c r="F5" s="14" t="s">
        <v>52</v>
      </c>
      <c r="G5" s="14"/>
      <c r="H5" s="14"/>
      <c r="I5" s="36"/>
      <c r="J5" s="36"/>
      <c r="K5" s="37"/>
    </row>
    <row r="6" customHeight="1" spans="1:11">
      <c r="A6" s="6"/>
      <c r="B6" s="10"/>
      <c r="C6" s="14" t="s">
        <v>53</v>
      </c>
      <c r="D6" s="14" t="s">
        <v>54</v>
      </c>
      <c r="E6" s="14" t="s">
        <v>55</v>
      </c>
      <c r="F6" s="14" t="s">
        <v>53</v>
      </c>
      <c r="G6" s="14" t="s">
        <v>54</v>
      </c>
      <c r="H6" s="14" t="s">
        <v>55</v>
      </c>
      <c r="I6" s="38" t="s">
        <v>56</v>
      </c>
      <c r="J6" s="38" t="s">
        <v>57</v>
      </c>
      <c r="K6" s="14" t="s">
        <v>13</v>
      </c>
    </row>
    <row r="7" customHeight="1" spans="1:13">
      <c r="A7" s="15">
        <v>1</v>
      </c>
      <c r="B7" s="16" t="s">
        <v>58</v>
      </c>
      <c r="C7" s="17">
        <v>0</v>
      </c>
      <c r="D7" s="17">
        <v>0</v>
      </c>
      <c r="E7" s="18">
        <f t="shared" ref="E7:E22" si="0">D7-C7</f>
        <v>0</v>
      </c>
      <c r="F7" s="17">
        <v>0</v>
      </c>
      <c r="G7" s="17">
        <v>0</v>
      </c>
      <c r="H7" s="17">
        <f t="shared" ref="H7:H37" si="1">G7-F7</f>
        <v>0</v>
      </c>
      <c r="I7" s="18">
        <v>0</v>
      </c>
      <c r="J7" s="17">
        <f t="shared" ref="J7:J37" si="2">E7+H7</f>
        <v>0</v>
      </c>
      <c r="K7" s="17">
        <f t="shared" ref="K7:K37" si="3">J7-I7</f>
        <v>0</v>
      </c>
      <c r="L7" s="39" t="s">
        <v>59</v>
      </c>
      <c r="M7" s="40"/>
    </row>
    <row r="8" customHeight="1" spans="1:13">
      <c r="A8" s="6">
        <v>2</v>
      </c>
      <c r="B8" s="19" t="s">
        <v>19</v>
      </c>
      <c r="C8" s="20">
        <v>0</v>
      </c>
      <c r="D8" s="20">
        <v>0</v>
      </c>
      <c r="E8" s="21">
        <f t="shared" si="0"/>
        <v>0</v>
      </c>
      <c r="F8" s="20">
        <v>0</v>
      </c>
      <c r="G8" s="20">
        <v>0</v>
      </c>
      <c r="H8" s="20">
        <f t="shared" si="1"/>
        <v>0</v>
      </c>
      <c r="I8" s="21">
        <v>0</v>
      </c>
      <c r="J8" s="20">
        <f t="shared" si="2"/>
        <v>0</v>
      </c>
      <c r="K8" s="20">
        <f t="shared" si="3"/>
        <v>0</v>
      </c>
      <c r="L8" s="4" t="s">
        <v>60</v>
      </c>
      <c r="M8" s="40"/>
    </row>
    <row r="9" s="1" customFormat="1" customHeight="1" spans="1:1024">
      <c r="A9" s="6">
        <v>3</v>
      </c>
      <c r="B9" s="16" t="s">
        <v>61</v>
      </c>
      <c r="C9" s="17">
        <v>0</v>
      </c>
      <c r="D9" s="17">
        <v>0</v>
      </c>
      <c r="E9" s="18">
        <f t="shared" si="0"/>
        <v>0</v>
      </c>
      <c r="F9" s="22">
        <v>0</v>
      </c>
      <c r="G9" s="17">
        <v>0</v>
      </c>
      <c r="H9" s="17">
        <f t="shared" si="1"/>
        <v>0</v>
      </c>
      <c r="I9" s="18">
        <v>0.166666666666667</v>
      </c>
      <c r="J9" s="17">
        <f t="shared" si="2"/>
        <v>0</v>
      </c>
      <c r="K9" s="17">
        <f t="shared" si="3"/>
        <v>-0.166666666666667</v>
      </c>
      <c r="L9" s="41"/>
      <c r="M9" s="42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  <c r="EY9" s="41"/>
      <c r="EZ9" s="41"/>
      <c r="FA9" s="41"/>
      <c r="FB9" s="41"/>
      <c r="FC9" s="41"/>
      <c r="FD9" s="41"/>
      <c r="FE9" s="41"/>
      <c r="FF9" s="41"/>
      <c r="FG9" s="41"/>
      <c r="FH9" s="41"/>
      <c r="FI9" s="41"/>
      <c r="FJ9" s="41"/>
      <c r="FK9" s="41"/>
      <c r="FL9" s="41"/>
      <c r="FM9" s="41"/>
      <c r="FN9" s="41"/>
      <c r="FO9" s="41"/>
      <c r="FP9" s="41"/>
      <c r="FQ9" s="41"/>
      <c r="FR9" s="41"/>
      <c r="FS9" s="41"/>
      <c r="FT9" s="41"/>
      <c r="FU9" s="41"/>
      <c r="FV9" s="41"/>
      <c r="FW9" s="41"/>
      <c r="FX9" s="41"/>
      <c r="FY9" s="41"/>
      <c r="FZ9" s="41"/>
      <c r="GA9" s="41"/>
      <c r="GB9" s="41"/>
      <c r="GC9" s="41"/>
      <c r="GD9" s="41"/>
      <c r="GE9" s="41"/>
      <c r="GF9" s="41"/>
      <c r="GG9" s="41"/>
      <c r="GH9" s="41"/>
      <c r="GI9" s="41"/>
      <c r="GJ9" s="41"/>
      <c r="GK9" s="41"/>
      <c r="GL9" s="41"/>
      <c r="GM9" s="41"/>
      <c r="GN9" s="41"/>
      <c r="GO9" s="41"/>
      <c r="GP9" s="41"/>
      <c r="GQ9" s="41"/>
      <c r="GR9" s="41"/>
      <c r="GS9" s="41"/>
      <c r="GT9" s="41"/>
      <c r="GU9" s="41"/>
      <c r="GV9" s="41"/>
      <c r="GW9" s="41"/>
      <c r="GX9" s="41"/>
      <c r="GY9" s="41"/>
      <c r="GZ9" s="41"/>
      <c r="HA9" s="41"/>
      <c r="HB9" s="41"/>
      <c r="HC9" s="41"/>
      <c r="HD9" s="41"/>
      <c r="HE9" s="41"/>
      <c r="HF9" s="41"/>
      <c r="HG9" s="41"/>
      <c r="HH9" s="41"/>
      <c r="HI9" s="41"/>
      <c r="HJ9" s="41"/>
      <c r="HK9" s="41"/>
      <c r="HL9" s="41"/>
      <c r="HM9" s="41"/>
      <c r="HN9" s="41"/>
      <c r="HO9" s="41"/>
      <c r="HP9" s="41"/>
      <c r="HQ9" s="41"/>
      <c r="HR9" s="41"/>
      <c r="HS9" s="41"/>
      <c r="HT9" s="41"/>
      <c r="HU9" s="41"/>
      <c r="HV9" s="41"/>
      <c r="HW9" s="41"/>
      <c r="HX9" s="41"/>
      <c r="HY9" s="41"/>
      <c r="HZ9" s="41"/>
      <c r="IA9" s="41"/>
      <c r="IB9" s="41"/>
      <c r="IC9" s="41"/>
      <c r="ID9" s="41"/>
      <c r="IE9" s="41"/>
      <c r="IF9" s="41"/>
      <c r="IG9" s="41"/>
      <c r="IH9" s="41"/>
      <c r="II9" s="41"/>
      <c r="IJ9" s="41"/>
      <c r="IK9" s="41"/>
      <c r="IL9" s="41"/>
      <c r="IM9" s="41"/>
      <c r="IN9" s="41"/>
      <c r="IO9" s="41"/>
      <c r="IP9" s="41"/>
      <c r="IQ9" s="41"/>
      <c r="IR9" s="41"/>
      <c r="IS9" s="41"/>
      <c r="IT9" s="41"/>
      <c r="IU9" s="41"/>
      <c r="IV9" s="41"/>
      <c r="IW9" s="41"/>
      <c r="IX9" s="41"/>
      <c r="IY9" s="41"/>
      <c r="IZ9" s="41"/>
      <c r="JA9" s="41"/>
      <c r="JB9" s="41"/>
      <c r="JC9" s="41"/>
      <c r="JD9" s="41"/>
      <c r="JE9" s="41"/>
      <c r="JF9" s="41"/>
      <c r="JG9" s="41"/>
      <c r="JH9" s="41"/>
      <c r="JI9" s="41"/>
      <c r="JJ9" s="41"/>
      <c r="JK9" s="41"/>
      <c r="JL9" s="41"/>
      <c r="JM9" s="41"/>
      <c r="JN9" s="41"/>
      <c r="JO9" s="41"/>
      <c r="JP9" s="41"/>
      <c r="JQ9" s="41"/>
      <c r="JR9" s="41"/>
      <c r="JS9" s="41"/>
      <c r="JT9" s="41"/>
      <c r="JU9" s="41"/>
      <c r="JV9" s="41"/>
      <c r="JW9" s="41"/>
      <c r="JX9" s="41"/>
      <c r="JY9" s="41"/>
      <c r="JZ9" s="41"/>
      <c r="KA9" s="41"/>
      <c r="KB9" s="41"/>
      <c r="KC9" s="41"/>
      <c r="KD9" s="41"/>
      <c r="KE9" s="41"/>
      <c r="KF9" s="41"/>
      <c r="KG9" s="41"/>
      <c r="KH9" s="41"/>
      <c r="KI9" s="41"/>
      <c r="KJ9" s="41"/>
      <c r="KK9" s="41"/>
      <c r="KL9" s="41"/>
      <c r="KM9" s="41"/>
      <c r="KN9" s="41"/>
      <c r="KO9" s="41"/>
      <c r="KP9" s="41"/>
      <c r="KQ9" s="41"/>
      <c r="KR9" s="41"/>
      <c r="KS9" s="41"/>
      <c r="KT9" s="41"/>
      <c r="KU9" s="41"/>
      <c r="KV9" s="41"/>
      <c r="KW9" s="41"/>
      <c r="KX9" s="41"/>
      <c r="KY9" s="41"/>
      <c r="KZ9" s="41"/>
      <c r="LA9" s="41"/>
      <c r="LB9" s="41"/>
      <c r="LC9" s="41"/>
      <c r="LD9" s="41"/>
      <c r="LE9" s="41"/>
      <c r="LF9" s="41"/>
      <c r="LG9" s="41"/>
      <c r="LH9" s="41"/>
      <c r="LI9" s="41"/>
      <c r="LJ9" s="41"/>
      <c r="LK9" s="41"/>
      <c r="LL9" s="41"/>
      <c r="LM9" s="41"/>
      <c r="LN9" s="41"/>
      <c r="LO9" s="41"/>
      <c r="LP9" s="41"/>
      <c r="LQ9" s="41"/>
      <c r="LR9" s="41"/>
      <c r="LS9" s="41"/>
      <c r="LT9" s="41"/>
      <c r="LU9" s="41"/>
      <c r="LV9" s="41"/>
      <c r="LW9" s="41"/>
      <c r="LX9" s="41"/>
      <c r="LY9" s="41"/>
      <c r="LZ9" s="41"/>
      <c r="MA9" s="41"/>
      <c r="MB9" s="41"/>
      <c r="MC9" s="41"/>
      <c r="MD9" s="41"/>
      <c r="ME9" s="41"/>
      <c r="MF9" s="41"/>
      <c r="MG9" s="41"/>
      <c r="MH9" s="41"/>
      <c r="MI9" s="41"/>
      <c r="MJ9" s="41"/>
      <c r="MK9" s="41"/>
      <c r="ML9" s="41"/>
      <c r="MM9" s="41"/>
      <c r="MN9" s="41"/>
      <c r="MO9" s="41"/>
      <c r="MP9" s="41"/>
      <c r="MQ9" s="41"/>
      <c r="MR9" s="41"/>
      <c r="MS9" s="41"/>
      <c r="MT9" s="41"/>
      <c r="MU9" s="41"/>
      <c r="MV9" s="41"/>
      <c r="MW9" s="41"/>
      <c r="MX9" s="41"/>
      <c r="MY9" s="41"/>
      <c r="MZ9" s="41"/>
      <c r="NA9" s="41"/>
      <c r="NB9" s="41"/>
      <c r="NC9" s="41"/>
      <c r="ND9" s="41"/>
      <c r="NE9" s="41"/>
      <c r="NF9" s="41"/>
      <c r="NG9" s="41"/>
      <c r="NH9" s="41"/>
      <c r="NI9" s="41"/>
      <c r="NJ9" s="41"/>
      <c r="NK9" s="41"/>
      <c r="NL9" s="41"/>
      <c r="NM9" s="41"/>
      <c r="NN9" s="41"/>
      <c r="NO9" s="41"/>
      <c r="NP9" s="41"/>
      <c r="NQ9" s="41"/>
      <c r="NR9" s="41"/>
      <c r="NS9" s="41"/>
      <c r="NT9" s="41"/>
      <c r="NU9" s="41"/>
      <c r="NV9" s="41"/>
      <c r="NW9" s="41"/>
      <c r="NX9" s="41"/>
      <c r="NY9" s="41"/>
      <c r="NZ9" s="41"/>
      <c r="OA9" s="41"/>
      <c r="OB9" s="41"/>
      <c r="OC9" s="41"/>
      <c r="OD9" s="41"/>
      <c r="OE9" s="41"/>
      <c r="OF9" s="41"/>
      <c r="OG9" s="41"/>
      <c r="OH9" s="41"/>
      <c r="OI9" s="41"/>
      <c r="OJ9" s="41"/>
      <c r="OK9" s="41"/>
      <c r="OL9" s="41"/>
      <c r="OM9" s="41"/>
      <c r="ON9" s="41"/>
      <c r="OO9" s="41"/>
      <c r="OP9" s="41"/>
      <c r="OQ9" s="41"/>
      <c r="OR9" s="41"/>
      <c r="OS9" s="41"/>
      <c r="OT9" s="41"/>
      <c r="OU9" s="41"/>
      <c r="OV9" s="41"/>
      <c r="OW9" s="41"/>
      <c r="OX9" s="41"/>
      <c r="OY9" s="41"/>
      <c r="OZ9" s="41"/>
      <c r="PA9" s="41"/>
      <c r="PB9" s="41"/>
      <c r="PC9" s="41"/>
      <c r="PD9" s="41"/>
      <c r="PE9" s="41"/>
      <c r="PF9" s="41"/>
      <c r="PG9" s="41"/>
      <c r="PH9" s="41"/>
      <c r="PI9" s="41"/>
      <c r="PJ9" s="41"/>
      <c r="PK9" s="41"/>
      <c r="PL9" s="41"/>
      <c r="PM9" s="41"/>
      <c r="PN9" s="41"/>
      <c r="PO9" s="41"/>
      <c r="PP9" s="41"/>
      <c r="PQ9" s="41"/>
      <c r="PR9" s="41"/>
      <c r="PS9" s="41"/>
      <c r="PT9" s="41"/>
      <c r="PU9" s="41"/>
      <c r="PV9" s="41"/>
      <c r="PW9" s="41"/>
      <c r="PX9" s="41"/>
      <c r="PY9" s="41"/>
      <c r="PZ9" s="41"/>
      <c r="QA9" s="41"/>
      <c r="QB9" s="41"/>
      <c r="QC9" s="41"/>
      <c r="QD9" s="41"/>
      <c r="QE9" s="41"/>
      <c r="QF9" s="41"/>
      <c r="QG9" s="41"/>
      <c r="QH9" s="41"/>
      <c r="QI9" s="41"/>
      <c r="QJ9" s="41"/>
      <c r="QK9" s="41"/>
      <c r="QL9" s="41"/>
      <c r="QM9" s="41"/>
      <c r="QN9" s="41"/>
      <c r="QO9" s="41"/>
      <c r="QP9" s="41"/>
      <c r="QQ9" s="41"/>
      <c r="QR9" s="41"/>
      <c r="QS9" s="41"/>
      <c r="QT9" s="41"/>
      <c r="QU9" s="41"/>
      <c r="QV9" s="41"/>
      <c r="QW9" s="41"/>
      <c r="QX9" s="41"/>
      <c r="QY9" s="41"/>
      <c r="QZ9" s="41"/>
      <c r="RA9" s="41"/>
      <c r="RB9" s="41"/>
      <c r="RC9" s="41"/>
      <c r="RD9" s="41"/>
      <c r="RE9" s="41"/>
      <c r="RF9" s="41"/>
      <c r="RG9" s="41"/>
      <c r="RH9" s="41"/>
      <c r="RI9" s="41"/>
      <c r="RJ9" s="41"/>
      <c r="RK9" s="41"/>
      <c r="RL9" s="41"/>
      <c r="RM9" s="41"/>
      <c r="RN9" s="41"/>
      <c r="RO9" s="41"/>
      <c r="RP9" s="41"/>
      <c r="RQ9" s="41"/>
      <c r="RR9" s="41"/>
      <c r="RS9" s="41"/>
      <c r="RT9" s="41"/>
      <c r="RU9" s="41"/>
      <c r="RV9" s="41"/>
      <c r="RW9" s="41"/>
      <c r="RX9" s="41"/>
      <c r="RY9" s="41"/>
      <c r="RZ9" s="41"/>
      <c r="SA9" s="41"/>
      <c r="SB9" s="41"/>
      <c r="SC9" s="41"/>
      <c r="SD9" s="41"/>
      <c r="SE9" s="41"/>
      <c r="SF9" s="41"/>
      <c r="SG9" s="41"/>
      <c r="SH9" s="41"/>
      <c r="SI9" s="41"/>
      <c r="SJ9" s="41"/>
      <c r="SK9" s="41"/>
      <c r="SL9" s="41"/>
      <c r="SM9" s="41"/>
      <c r="SN9" s="41"/>
      <c r="SO9" s="41"/>
      <c r="SP9" s="41"/>
      <c r="SQ9" s="41"/>
      <c r="SR9" s="41"/>
      <c r="SS9" s="41"/>
      <c r="ST9" s="41"/>
      <c r="SU9" s="41"/>
      <c r="SV9" s="41"/>
      <c r="SW9" s="41"/>
      <c r="SX9" s="41"/>
      <c r="SY9" s="41"/>
      <c r="SZ9" s="41"/>
      <c r="TA9" s="41"/>
      <c r="TB9" s="41"/>
      <c r="TC9" s="41"/>
      <c r="TD9" s="41"/>
      <c r="TE9" s="41"/>
      <c r="TF9" s="41"/>
      <c r="TG9" s="41"/>
      <c r="TH9" s="41"/>
      <c r="TI9" s="41"/>
      <c r="TJ9" s="41"/>
      <c r="TK9" s="41"/>
      <c r="TL9" s="41"/>
      <c r="TM9" s="41"/>
      <c r="TN9" s="41"/>
      <c r="TO9" s="41"/>
      <c r="TP9" s="41"/>
      <c r="TQ9" s="41"/>
      <c r="TR9" s="41"/>
      <c r="TS9" s="41"/>
      <c r="TT9" s="41"/>
      <c r="TU9" s="41"/>
      <c r="TV9" s="41"/>
      <c r="TW9" s="41"/>
      <c r="TX9" s="41"/>
      <c r="TY9" s="41"/>
      <c r="TZ9" s="41"/>
      <c r="UA9" s="41"/>
      <c r="UB9" s="41"/>
      <c r="UC9" s="41"/>
      <c r="UD9" s="41"/>
      <c r="UE9" s="41"/>
      <c r="UF9" s="41"/>
      <c r="UG9" s="41"/>
      <c r="UH9" s="41"/>
      <c r="UI9" s="41"/>
      <c r="UJ9" s="41"/>
      <c r="UK9" s="41"/>
      <c r="UL9" s="41"/>
      <c r="UM9" s="41"/>
      <c r="UN9" s="41"/>
      <c r="UO9" s="41"/>
      <c r="UP9" s="41"/>
      <c r="UQ9" s="41"/>
      <c r="UR9" s="41"/>
      <c r="US9" s="41"/>
      <c r="UT9" s="41"/>
      <c r="UU9" s="41"/>
      <c r="UV9" s="41"/>
      <c r="UW9" s="41"/>
      <c r="UX9" s="41"/>
      <c r="UY9" s="41"/>
      <c r="UZ9" s="41"/>
      <c r="VA9" s="41"/>
      <c r="VB9" s="41"/>
      <c r="VC9" s="41"/>
      <c r="VD9" s="41"/>
      <c r="VE9" s="41"/>
      <c r="VF9" s="41"/>
      <c r="VG9" s="41"/>
      <c r="VH9" s="41"/>
      <c r="VI9" s="41"/>
      <c r="VJ9" s="41"/>
      <c r="VK9" s="41"/>
      <c r="VL9" s="41"/>
      <c r="VM9" s="41"/>
      <c r="VN9" s="41"/>
      <c r="VO9" s="41"/>
      <c r="VP9" s="41"/>
      <c r="VQ9" s="41"/>
      <c r="VR9" s="41"/>
      <c r="VS9" s="41"/>
      <c r="VT9" s="41"/>
      <c r="VU9" s="41"/>
      <c r="VV9" s="41"/>
      <c r="VW9" s="41"/>
      <c r="VX9" s="41"/>
      <c r="VY9" s="41"/>
      <c r="VZ9" s="41"/>
      <c r="WA9" s="41"/>
      <c r="WB9" s="41"/>
      <c r="WC9" s="41"/>
      <c r="WD9" s="41"/>
      <c r="WE9" s="41"/>
      <c r="WF9" s="41"/>
      <c r="WG9" s="41"/>
      <c r="WH9" s="41"/>
      <c r="WI9" s="41"/>
      <c r="WJ9" s="41"/>
      <c r="WK9" s="41"/>
      <c r="WL9" s="41"/>
      <c r="WM9" s="41"/>
      <c r="WN9" s="41"/>
      <c r="WO9" s="41"/>
      <c r="WP9" s="41"/>
      <c r="WQ9" s="41"/>
      <c r="WR9" s="41"/>
      <c r="WS9" s="41"/>
      <c r="WT9" s="41"/>
      <c r="WU9" s="41"/>
      <c r="WV9" s="41"/>
      <c r="WW9" s="41"/>
      <c r="WX9" s="41"/>
      <c r="WY9" s="41"/>
      <c r="WZ9" s="41"/>
      <c r="XA9" s="41"/>
      <c r="XB9" s="41"/>
      <c r="XC9" s="41"/>
      <c r="XD9" s="41"/>
      <c r="XE9" s="41"/>
      <c r="XF9" s="41"/>
      <c r="XG9" s="41"/>
      <c r="XH9" s="41"/>
      <c r="XI9" s="41"/>
      <c r="XJ9" s="41"/>
      <c r="XK9" s="41"/>
      <c r="XL9" s="41"/>
      <c r="XM9" s="41"/>
      <c r="XN9" s="41"/>
      <c r="XO9" s="41"/>
      <c r="XP9" s="41"/>
      <c r="XQ9" s="41"/>
      <c r="XR9" s="41"/>
      <c r="XS9" s="41"/>
      <c r="XT9" s="41"/>
      <c r="XU9" s="41"/>
      <c r="XV9" s="41"/>
      <c r="XW9" s="41"/>
      <c r="XX9" s="41"/>
      <c r="XY9" s="41"/>
      <c r="XZ9" s="41"/>
      <c r="YA9" s="41"/>
      <c r="YB9" s="41"/>
      <c r="YC9" s="41"/>
      <c r="YD9" s="41"/>
      <c r="YE9" s="41"/>
      <c r="YF9" s="41"/>
      <c r="YG9" s="41"/>
      <c r="YH9" s="41"/>
      <c r="YI9" s="41"/>
      <c r="YJ9" s="41"/>
      <c r="YK9" s="41"/>
      <c r="YL9" s="41"/>
      <c r="YM9" s="41"/>
      <c r="YN9" s="41"/>
      <c r="YO9" s="41"/>
      <c r="YP9" s="41"/>
      <c r="YQ9" s="41"/>
      <c r="YR9" s="41"/>
      <c r="YS9" s="41"/>
      <c r="YT9" s="41"/>
      <c r="YU9" s="41"/>
      <c r="YV9" s="41"/>
      <c r="YW9" s="41"/>
      <c r="YX9" s="41"/>
      <c r="YY9" s="41"/>
      <c r="YZ9" s="41"/>
      <c r="ZA9" s="41"/>
      <c r="ZB9" s="41"/>
      <c r="ZC9" s="41"/>
      <c r="ZD9" s="41"/>
      <c r="ZE9" s="41"/>
      <c r="ZF9" s="41"/>
      <c r="ZG9" s="41"/>
      <c r="ZH9" s="41"/>
      <c r="ZI9" s="41"/>
      <c r="ZJ9" s="41"/>
      <c r="ZK9" s="41"/>
      <c r="ZL9" s="41"/>
      <c r="ZM9" s="41"/>
      <c r="ZN9" s="41"/>
      <c r="ZO9" s="41"/>
      <c r="ZP9" s="41"/>
      <c r="ZQ9" s="41"/>
      <c r="ZR9" s="41"/>
      <c r="ZS9" s="41"/>
      <c r="ZT9" s="41"/>
      <c r="ZU9" s="41"/>
      <c r="ZV9" s="41"/>
      <c r="ZW9" s="41"/>
      <c r="ZX9" s="41"/>
      <c r="ZY9" s="41"/>
      <c r="ZZ9" s="41"/>
      <c r="AAA9" s="41"/>
      <c r="AAB9" s="41"/>
      <c r="AAC9" s="41"/>
      <c r="AAD9" s="41"/>
      <c r="AAE9" s="41"/>
      <c r="AAF9" s="41"/>
      <c r="AAG9" s="41"/>
      <c r="AAH9" s="41"/>
      <c r="AAI9" s="41"/>
      <c r="AAJ9" s="41"/>
      <c r="AAK9" s="41"/>
      <c r="AAL9" s="41"/>
      <c r="AAM9" s="41"/>
      <c r="AAN9" s="41"/>
      <c r="AAO9" s="41"/>
      <c r="AAP9" s="41"/>
      <c r="AAQ9" s="41"/>
      <c r="AAR9" s="41"/>
      <c r="AAS9" s="41"/>
      <c r="AAT9" s="41"/>
      <c r="AAU9" s="41"/>
      <c r="AAV9" s="41"/>
      <c r="AAW9" s="41"/>
      <c r="AAX9" s="41"/>
      <c r="AAY9" s="41"/>
      <c r="AAZ9" s="41"/>
      <c r="ABA9" s="41"/>
      <c r="ABB9" s="41"/>
      <c r="ABC9" s="41"/>
      <c r="ABD9" s="41"/>
      <c r="ABE9" s="41"/>
      <c r="ABF9" s="41"/>
      <c r="ABG9" s="41"/>
      <c r="ABH9" s="41"/>
      <c r="ABI9" s="41"/>
      <c r="ABJ9" s="41"/>
      <c r="ABK9" s="41"/>
      <c r="ABL9" s="41"/>
      <c r="ABM9" s="41"/>
      <c r="ABN9" s="41"/>
      <c r="ABO9" s="41"/>
      <c r="ABP9" s="41"/>
      <c r="ABQ9" s="41"/>
      <c r="ABR9" s="41"/>
      <c r="ABS9" s="41"/>
      <c r="ABT9" s="41"/>
      <c r="ABU9" s="41"/>
      <c r="ABV9" s="41"/>
      <c r="ABW9" s="41"/>
      <c r="ABX9" s="41"/>
      <c r="ABY9" s="41"/>
      <c r="ABZ9" s="41"/>
      <c r="ACA9" s="41"/>
      <c r="ACB9" s="41"/>
      <c r="ACC9" s="41"/>
      <c r="ACD9" s="41"/>
      <c r="ACE9" s="41"/>
      <c r="ACF9" s="41"/>
      <c r="ACG9" s="41"/>
      <c r="ACH9" s="41"/>
      <c r="ACI9" s="41"/>
      <c r="ACJ9" s="41"/>
      <c r="ACK9" s="41"/>
      <c r="ACL9" s="41"/>
      <c r="ACM9" s="41"/>
      <c r="ACN9" s="41"/>
      <c r="ACO9" s="41"/>
      <c r="ACP9" s="41"/>
      <c r="ACQ9" s="41"/>
      <c r="ACR9" s="41"/>
      <c r="ACS9" s="41"/>
      <c r="ACT9" s="41"/>
      <c r="ACU9" s="41"/>
      <c r="ACV9" s="41"/>
      <c r="ACW9" s="41"/>
      <c r="ACX9" s="41"/>
      <c r="ACY9" s="41"/>
      <c r="ACZ9" s="41"/>
      <c r="ADA9" s="41"/>
      <c r="ADB9" s="41"/>
      <c r="ADC9" s="41"/>
      <c r="ADD9" s="41"/>
      <c r="ADE9" s="41"/>
      <c r="ADF9" s="41"/>
      <c r="ADG9" s="41"/>
      <c r="ADH9" s="41"/>
      <c r="ADI9" s="41"/>
      <c r="ADJ9" s="41"/>
      <c r="ADK9" s="41"/>
      <c r="ADL9" s="41"/>
      <c r="ADM9" s="41"/>
      <c r="ADN9" s="41"/>
      <c r="ADO9" s="41"/>
      <c r="ADP9" s="41"/>
      <c r="ADQ9" s="41"/>
      <c r="ADR9" s="41"/>
      <c r="ADS9" s="41"/>
      <c r="ADT9" s="41"/>
      <c r="ADU9" s="41"/>
      <c r="ADV9" s="41"/>
      <c r="ADW9" s="41"/>
      <c r="ADX9" s="41"/>
      <c r="ADY9" s="41"/>
      <c r="ADZ9" s="41"/>
      <c r="AEA9" s="41"/>
      <c r="AEB9" s="41"/>
      <c r="AEC9" s="41"/>
      <c r="AED9" s="41"/>
      <c r="AEE9" s="41"/>
      <c r="AEF9" s="41"/>
      <c r="AEG9" s="41"/>
      <c r="AEH9" s="41"/>
      <c r="AEI9" s="41"/>
      <c r="AEJ9" s="41"/>
      <c r="AEK9" s="41"/>
      <c r="AEL9" s="41"/>
      <c r="AEM9" s="41"/>
      <c r="AEN9" s="41"/>
      <c r="AEO9" s="41"/>
      <c r="AEP9" s="41"/>
      <c r="AEQ9" s="41"/>
      <c r="AER9" s="41"/>
      <c r="AES9" s="41"/>
      <c r="AET9" s="41"/>
      <c r="AEU9" s="41"/>
      <c r="AEV9" s="41"/>
      <c r="AEW9" s="41"/>
      <c r="AEX9" s="41"/>
      <c r="AEY9" s="41"/>
      <c r="AEZ9" s="41"/>
      <c r="AFA9" s="41"/>
      <c r="AFB9" s="41"/>
      <c r="AFC9" s="41"/>
      <c r="AFD9" s="41"/>
      <c r="AFE9" s="41"/>
      <c r="AFF9" s="41"/>
      <c r="AFG9" s="41"/>
      <c r="AFH9" s="41"/>
      <c r="AFI9" s="41"/>
      <c r="AFJ9" s="41"/>
      <c r="AFK9" s="41"/>
      <c r="AFL9" s="41"/>
      <c r="AFM9" s="41"/>
      <c r="AFN9" s="41"/>
      <c r="AFO9" s="41"/>
      <c r="AFP9" s="41"/>
      <c r="AFQ9" s="41"/>
      <c r="AFR9" s="41"/>
      <c r="AFS9" s="41"/>
      <c r="AFT9" s="41"/>
      <c r="AFU9" s="41"/>
      <c r="AFV9" s="41"/>
      <c r="AFW9" s="41"/>
      <c r="AFX9" s="41"/>
      <c r="AFY9" s="41"/>
      <c r="AFZ9" s="41"/>
      <c r="AGA9" s="41"/>
      <c r="AGB9" s="41"/>
      <c r="AGC9" s="41"/>
      <c r="AGD9" s="41"/>
      <c r="AGE9" s="41"/>
      <c r="AGF9" s="41"/>
      <c r="AGG9" s="41"/>
      <c r="AGH9" s="41"/>
      <c r="AGI9" s="41"/>
      <c r="AGJ9" s="41"/>
      <c r="AGK9" s="41"/>
      <c r="AGL9" s="41"/>
      <c r="AGM9" s="41"/>
      <c r="AGN9" s="41"/>
      <c r="AGO9" s="41"/>
      <c r="AGP9" s="41"/>
      <c r="AGQ9" s="41"/>
      <c r="AGR9" s="41"/>
      <c r="AGS9" s="41"/>
      <c r="AGT9" s="41"/>
      <c r="AGU9" s="41"/>
      <c r="AGV9" s="41"/>
      <c r="AGW9" s="41"/>
      <c r="AGX9" s="41"/>
      <c r="AGY9" s="41"/>
      <c r="AGZ9" s="41"/>
      <c r="AHA9" s="41"/>
      <c r="AHB9" s="41"/>
      <c r="AHC9" s="41"/>
      <c r="AHD9" s="41"/>
      <c r="AHE9" s="41"/>
      <c r="AHF9" s="41"/>
      <c r="AHG9" s="41"/>
      <c r="AHH9" s="41"/>
      <c r="AHI9" s="41"/>
      <c r="AHJ9" s="41"/>
      <c r="AHK9" s="41"/>
      <c r="AHL9" s="41"/>
      <c r="AHM9" s="41"/>
      <c r="AHN9" s="41"/>
      <c r="AHO9" s="41"/>
      <c r="AHP9" s="41"/>
      <c r="AHQ9" s="41"/>
      <c r="AHR9" s="41"/>
      <c r="AHS9" s="41"/>
      <c r="AHT9" s="41"/>
      <c r="AHU9" s="41"/>
      <c r="AHV9" s="41"/>
      <c r="AHW9" s="41"/>
      <c r="AHX9" s="41"/>
      <c r="AHY9" s="41"/>
      <c r="AHZ9" s="41"/>
      <c r="AIA9" s="41"/>
      <c r="AIB9" s="41"/>
      <c r="AIC9" s="41"/>
      <c r="AID9" s="41"/>
      <c r="AIE9" s="41"/>
      <c r="AIF9" s="41"/>
      <c r="AIG9" s="41"/>
      <c r="AIH9" s="41"/>
      <c r="AII9" s="41"/>
      <c r="AIJ9" s="41"/>
      <c r="AIK9" s="41"/>
      <c r="AIL9" s="41"/>
      <c r="AIM9" s="41"/>
      <c r="AIN9" s="41"/>
      <c r="AIO9" s="41"/>
      <c r="AIP9" s="41"/>
      <c r="AIQ9" s="41"/>
      <c r="AIR9" s="41"/>
      <c r="AIS9" s="41"/>
      <c r="AIT9" s="41"/>
      <c r="AIU9" s="41"/>
      <c r="AIV9" s="41"/>
      <c r="AIW9" s="41"/>
      <c r="AIX9" s="41"/>
      <c r="AIY9" s="41"/>
      <c r="AIZ9" s="41"/>
      <c r="AJA9" s="41"/>
      <c r="AJB9" s="41"/>
      <c r="AJC9" s="41"/>
      <c r="AJD9" s="41"/>
      <c r="AJE9" s="41"/>
      <c r="AJF9" s="41"/>
      <c r="AJG9" s="41"/>
      <c r="AJH9" s="41"/>
      <c r="AJI9" s="41"/>
      <c r="AJJ9" s="41"/>
      <c r="AJK9" s="41"/>
      <c r="AJL9" s="41"/>
      <c r="AJM9" s="41"/>
      <c r="AJN9" s="41"/>
      <c r="AJO9" s="41"/>
      <c r="AJP9" s="41"/>
      <c r="AJQ9" s="41"/>
      <c r="AJR9" s="41"/>
      <c r="AJS9" s="41"/>
      <c r="AJT9" s="41"/>
      <c r="AJU9" s="41"/>
      <c r="AJV9" s="41"/>
      <c r="AJW9" s="41"/>
      <c r="AJX9" s="41"/>
      <c r="AJY9" s="41"/>
      <c r="AJZ9" s="41"/>
      <c r="AKA9" s="41"/>
      <c r="AKB9" s="41"/>
      <c r="AKC9" s="41"/>
      <c r="AKD9" s="41"/>
      <c r="AKE9" s="41"/>
      <c r="AKF9" s="41"/>
      <c r="AKG9" s="41"/>
      <c r="AKH9" s="41"/>
      <c r="AKI9" s="41"/>
      <c r="AKJ9" s="41"/>
      <c r="AKK9" s="41"/>
      <c r="AKL9" s="41"/>
      <c r="AKM9" s="41"/>
      <c r="AKN9" s="41"/>
      <c r="AKO9" s="41"/>
      <c r="AKP9" s="41"/>
      <c r="AKQ9" s="41"/>
      <c r="AKR9" s="41"/>
      <c r="AKS9" s="41"/>
      <c r="AKT9" s="41"/>
      <c r="AKU9" s="41"/>
      <c r="AKV9" s="41"/>
      <c r="AKW9" s="41"/>
      <c r="AKX9" s="41"/>
      <c r="AKY9" s="41"/>
      <c r="AKZ9" s="41"/>
      <c r="ALA9" s="41"/>
      <c r="ALB9" s="41"/>
      <c r="ALC9" s="41"/>
      <c r="ALD9" s="41"/>
      <c r="ALE9" s="41"/>
      <c r="ALF9" s="41"/>
      <c r="ALG9" s="41"/>
      <c r="ALH9" s="41"/>
      <c r="ALI9" s="41"/>
      <c r="ALJ9" s="41"/>
      <c r="ALK9" s="41"/>
      <c r="ALL9" s="41"/>
      <c r="ALM9" s="41"/>
      <c r="ALN9" s="41"/>
      <c r="ALO9" s="41"/>
      <c r="ALP9" s="41"/>
      <c r="ALQ9" s="41"/>
      <c r="ALR9" s="41"/>
      <c r="ALS9" s="41"/>
      <c r="ALT9" s="41"/>
      <c r="ALU9" s="41"/>
      <c r="ALV9" s="41"/>
      <c r="ALW9" s="41"/>
      <c r="ALX9" s="41"/>
      <c r="ALY9" s="41"/>
      <c r="ALZ9" s="41"/>
      <c r="AMA9" s="41"/>
      <c r="AMB9" s="41"/>
      <c r="AMC9" s="41"/>
      <c r="AMD9" s="41"/>
      <c r="AME9" s="41"/>
      <c r="AMF9" s="41"/>
      <c r="AMG9" s="41"/>
      <c r="AMH9" s="41"/>
      <c r="AMI9" s="41"/>
      <c r="AMJ9" s="41"/>
    </row>
    <row r="10" customHeight="1" spans="1:13">
      <c r="A10" s="6">
        <v>4</v>
      </c>
      <c r="B10" s="16" t="s">
        <v>14</v>
      </c>
      <c r="C10" s="17">
        <v>0</v>
      </c>
      <c r="D10" s="17">
        <v>0</v>
      </c>
      <c r="E10" s="18">
        <f t="shared" si="0"/>
        <v>0</v>
      </c>
      <c r="F10" s="22">
        <v>0</v>
      </c>
      <c r="G10" s="17">
        <v>0</v>
      </c>
      <c r="H10" s="17">
        <f t="shared" si="1"/>
        <v>0</v>
      </c>
      <c r="I10" s="18">
        <v>0</v>
      </c>
      <c r="J10" s="17">
        <f t="shared" si="2"/>
        <v>0</v>
      </c>
      <c r="K10" s="17">
        <f t="shared" si="3"/>
        <v>0</v>
      </c>
      <c r="M10" s="40"/>
    </row>
    <row r="11" customHeight="1" spans="1:13">
      <c r="A11" s="6">
        <v>5</v>
      </c>
      <c r="B11" s="10" t="s">
        <v>62</v>
      </c>
      <c r="C11" s="20">
        <v>0.333333333333333</v>
      </c>
      <c r="D11" s="20">
        <v>0.5</v>
      </c>
      <c r="E11" s="21">
        <f t="shared" si="0"/>
        <v>0.166666666666667</v>
      </c>
      <c r="F11" s="20">
        <v>0.555555555555556</v>
      </c>
      <c r="G11" s="20">
        <v>0.788888888888889</v>
      </c>
      <c r="H11" s="20">
        <f t="shared" si="1"/>
        <v>0.233333333333333</v>
      </c>
      <c r="I11" s="21">
        <v>0.333333333333333</v>
      </c>
      <c r="J11" s="20">
        <f t="shared" si="2"/>
        <v>0.4</v>
      </c>
      <c r="K11" s="20">
        <f t="shared" si="3"/>
        <v>0.066666666666667</v>
      </c>
      <c r="M11" s="40"/>
    </row>
    <row r="12" customHeight="1" spans="1:13">
      <c r="A12" s="6">
        <v>6</v>
      </c>
      <c r="B12" s="10" t="s">
        <v>63</v>
      </c>
      <c r="C12" s="20">
        <v>0.333333333333333</v>
      </c>
      <c r="D12" s="20">
        <v>0.503472222222222</v>
      </c>
      <c r="E12" s="21">
        <f t="shared" si="0"/>
        <v>0.170138888888889</v>
      </c>
      <c r="F12" s="20">
        <v>0.545138888888889</v>
      </c>
      <c r="G12" s="20">
        <v>0.66875</v>
      </c>
      <c r="H12" s="20">
        <f t="shared" si="1"/>
        <v>0.123611111111111</v>
      </c>
      <c r="I12" s="21">
        <v>0.333333333333333</v>
      </c>
      <c r="J12" s="20">
        <f t="shared" si="2"/>
        <v>0.29375</v>
      </c>
      <c r="K12" s="20">
        <f t="shared" si="3"/>
        <v>-0.039583333333333</v>
      </c>
      <c r="M12" s="40"/>
    </row>
    <row r="13" customHeight="1" spans="1:13">
      <c r="A13" s="6">
        <v>7</v>
      </c>
      <c r="B13" s="23" t="s">
        <v>17</v>
      </c>
      <c r="C13" s="20">
        <v>0.333333333333333</v>
      </c>
      <c r="D13" s="20">
        <v>0.506944444444444</v>
      </c>
      <c r="E13" s="21">
        <f t="shared" si="0"/>
        <v>0.173611111111111</v>
      </c>
      <c r="F13" s="20">
        <v>0.548611111111111</v>
      </c>
      <c r="G13" s="20">
        <v>0.696527777777778</v>
      </c>
      <c r="H13" s="20">
        <f t="shared" si="1"/>
        <v>0.147916666666667</v>
      </c>
      <c r="I13" s="21">
        <v>0.333333333333333</v>
      </c>
      <c r="J13" s="20">
        <f t="shared" si="2"/>
        <v>0.321527777777778</v>
      </c>
      <c r="K13" s="20">
        <f t="shared" si="3"/>
        <v>-0.0118055555555553</v>
      </c>
      <c r="M13" s="40"/>
    </row>
    <row r="14" customHeight="1" spans="1:13">
      <c r="A14" s="6">
        <v>8</v>
      </c>
      <c r="B14" s="23" t="s">
        <v>58</v>
      </c>
      <c r="C14" s="20">
        <v>0.333333333333333</v>
      </c>
      <c r="D14" s="20">
        <v>0.5625</v>
      </c>
      <c r="E14" s="21">
        <f t="shared" si="0"/>
        <v>0.229166666666667</v>
      </c>
      <c r="F14" s="20">
        <v>0.604166666666667</v>
      </c>
      <c r="G14" s="20">
        <v>0.750694444444444</v>
      </c>
      <c r="H14" s="20">
        <f t="shared" si="1"/>
        <v>0.146527777777778</v>
      </c>
      <c r="I14" s="21">
        <v>0.333333333333333</v>
      </c>
      <c r="J14" s="20">
        <f t="shared" si="2"/>
        <v>0.375694444444444</v>
      </c>
      <c r="K14" s="20">
        <f t="shared" si="3"/>
        <v>0.0423611111111115</v>
      </c>
      <c r="M14" s="40"/>
    </row>
    <row r="15" s="1" customFormat="1" customHeight="1" spans="1:1024">
      <c r="A15" s="6">
        <v>9</v>
      </c>
      <c r="B15" s="23" t="s">
        <v>19</v>
      </c>
      <c r="C15" s="20">
        <v>0.333333333333333</v>
      </c>
      <c r="D15" s="20">
        <v>0.520833333333333</v>
      </c>
      <c r="E15" s="21">
        <f t="shared" si="0"/>
        <v>0.1875</v>
      </c>
      <c r="F15" s="20">
        <v>0.5625</v>
      </c>
      <c r="G15" s="20">
        <v>0.734722222222222</v>
      </c>
      <c r="H15" s="20">
        <f t="shared" si="1"/>
        <v>0.172222222222222</v>
      </c>
      <c r="I15" s="21">
        <v>0.333333333333333</v>
      </c>
      <c r="J15" s="20">
        <f t="shared" si="2"/>
        <v>0.359722222222222</v>
      </c>
      <c r="K15" s="20">
        <f t="shared" si="3"/>
        <v>0.0263888888888894</v>
      </c>
      <c r="L15" s="41"/>
      <c r="M15" s="42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41"/>
      <c r="BK15" s="41"/>
      <c r="BL15" s="41"/>
      <c r="BM15" s="41"/>
      <c r="BN15" s="41"/>
      <c r="BO15" s="41"/>
      <c r="BP15" s="41"/>
      <c r="BQ15" s="41"/>
      <c r="BR15" s="41"/>
      <c r="BS15" s="41"/>
      <c r="BT15" s="41"/>
      <c r="BU15" s="41"/>
      <c r="BV15" s="41"/>
      <c r="BW15" s="41"/>
      <c r="BX15" s="41"/>
      <c r="BY15" s="41"/>
      <c r="BZ15" s="41"/>
      <c r="CA15" s="41"/>
      <c r="CB15" s="41"/>
      <c r="CC15" s="41"/>
      <c r="CD15" s="41"/>
      <c r="CE15" s="41"/>
      <c r="CF15" s="41"/>
      <c r="CG15" s="41"/>
      <c r="CH15" s="41"/>
      <c r="CI15" s="41"/>
      <c r="CJ15" s="41"/>
      <c r="CK15" s="41"/>
      <c r="CL15" s="41"/>
      <c r="CM15" s="41"/>
      <c r="CN15" s="41"/>
      <c r="CO15" s="41"/>
      <c r="CP15" s="41"/>
      <c r="CQ15" s="41"/>
      <c r="CR15" s="41"/>
      <c r="CS15" s="41"/>
      <c r="CT15" s="41"/>
      <c r="CU15" s="41"/>
      <c r="CV15" s="41"/>
      <c r="CW15" s="41"/>
      <c r="CX15" s="41"/>
      <c r="CY15" s="41"/>
      <c r="CZ15" s="41"/>
      <c r="DA15" s="41"/>
      <c r="DB15" s="41"/>
      <c r="DC15" s="41"/>
      <c r="DD15" s="41"/>
      <c r="DE15" s="41"/>
      <c r="DF15" s="41"/>
      <c r="DG15" s="41"/>
      <c r="DH15" s="41"/>
      <c r="DI15" s="41"/>
      <c r="DJ15" s="41"/>
      <c r="DK15" s="41"/>
      <c r="DL15" s="41"/>
      <c r="DM15" s="41"/>
      <c r="DN15" s="41"/>
      <c r="DO15" s="41"/>
      <c r="DP15" s="41"/>
      <c r="DQ15" s="41"/>
      <c r="DR15" s="41"/>
      <c r="DS15" s="41"/>
      <c r="DT15" s="41"/>
      <c r="DU15" s="41"/>
      <c r="DV15" s="41"/>
      <c r="DW15" s="41"/>
      <c r="DX15" s="41"/>
      <c r="DY15" s="41"/>
      <c r="DZ15" s="41"/>
      <c r="EA15" s="41"/>
      <c r="EB15" s="41"/>
      <c r="EC15" s="41"/>
      <c r="ED15" s="41"/>
      <c r="EE15" s="41"/>
      <c r="EF15" s="41"/>
      <c r="EG15" s="41"/>
      <c r="EH15" s="41"/>
      <c r="EI15" s="41"/>
      <c r="EJ15" s="41"/>
      <c r="EK15" s="41"/>
      <c r="EL15" s="41"/>
      <c r="EM15" s="41"/>
      <c r="EN15" s="41"/>
      <c r="EO15" s="41"/>
      <c r="EP15" s="41"/>
      <c r="EQ15" s="41"/>
      <c r="ER15" s="41"/>
      <c r="ES15" s="41"/>
      <c r="ET15" s="41"/>
      <c r="EU15" s="41"/>
      <c r="EV15" s="41"/>
      <c r="EW15" s="41"/>
      <c r="EX15" s="41"/>
      <c r="EY15" s="41"/>
      <c r="EZ15" s="41"/>
      <c r="FA15" s="41"/>
      <c r="FB15" s="41"/>
      <c r="FC15" s="41"/>
      <c r="FD15" s="41"/>
      <c r="FE15" s="41"/>
      <c r="FF15" s="41"/>
      <c r="FG15" s="41"/>
      <c r="FH15" s="41"/>
      <c r="FI15" s="41"/>
      <c r="FJ15" s="41"/>
      <c r="FK15" s="41"/>
      <c r="FL15" s="41"/>
      <c r="FM15" s="41"/>
      <c r="FN15" s="41"/>
      <c r="FO15" s="41"/>
      <c r="FP15" s="41"/>
      <c r="FQ15" s="41"/>
      <c r="FR15" s="41"/>
      <c r="FS15" s="41"/>
      <c r="FT15" s="41"/>
      <c r="FU15" s="41"/>
      <c r="FV15" s="41"/>
      <c r="FW15" s="41"/>
      <c r="FX15" s="41"/>
      <c r="FY15" s="41"/>
      <c r="FZ15" s="41"/>
      <c r="GA15" s="41"/>
      <c r="GB15" s="41"/>
      <c r="GC15" s="41"/>
      <c r="GD15" s="41"/>
      <c r="GE15" s="41"/>
      <c r="GF15" s="41"/>
      <c r="GG15" s="41"/>
      <c r="GH15" s="41"/>
      <c r="GI15" s="41"/>
      <c r="GJ15" s="41"/>
      <c r="GK15" s="41"/>
      <c r="GL15" s="41"/>
      <c r="GM15" s="41"/>
      <c r="GN15" s="41"/>
      <c r="GO15" s="41"/>
      <c r="GP15" s="41"/>
      <c r="GQ15" s="41"/>
      <c r="GR15" s="41"/>
      <c r="GS15" s="41"/>
      <c r="GT15" s="41"/>
      <c r="GU15" s="41"/>
      <c r="GV15" s="41"/>
      <c r="GW15" s="41"/>
      <c r="GX15" s="41"/>
      <c r="GY15" s="41"/>
      <c r="GZ15" s="41"/>
      <c r="HA15" s="41"/>
      <c r="HB15" s="41"/>
      <c r="HC15" s="41"/>
      <c r="HD15" s="41"/>
      <c r="HE15" s="41"/>
      <c r="HF15" s="41"/>
      <c r="HG15" s="41"/>
      <c r="HH15" s="41"/>
      <c r="HI15" s="41"/>
      <c r="HJ15" s="41"/>
      <c r="HK15" s="41"/>
      <c r="HL15" s="41"/>
      <c r="HM15" s="41"/>
      <c r="HN15" s="41"/>
      <c r="HO15" s="41"/>
      <c r="HP15" s="41"/>
      <c r="HQ15" s="41"/>
      <c r="HR15" s="41"/>
      <c r="HS15" s="41"/>
      <c r="HT15" s="41"/>
      <c r="HU15" s="41"/>
      <c r="HV15" s="41"/>
      <c r="HW15" s="41"/>
      <c r="HX15" s="41"/>
      <c r="HY15" s="41"/>
      <c r="HZ15" s="41"/>
      <c r="IA15" s="41"/>
      <c r="IB15" s="41"/>
      <c r="IC15" s="41"/>
      <c r="ID15" s="41"/>
      <c r="IE15" s="41"/>
      <c r="IF15" s="41"/>
      <c r="IG15" s="41"/>
      <c r="IH15" s="41"/>
      <c r="II15" s="41"/>
      <c r="IJ15" s="41"/>
      <c r="IK15" s="41"/>
      <c r="IL15" s="41"/>
      <c r="IM15" s="41"/>
      <c r="IN15" s="41"/>
      <c r="IO15" s="41"/>
      <c r="IP15" s="41"/>
      <c r="IQ15" s="41"/>
      <c r="IR15" s="41"/>
      <c r="IS15" s="41"/>
      <c r="IT15" s="41"/>
      <c r="IU15" s="41"/>
      <c r="IV15" s="41"/>
      <c r="IW15" s="41"/>
      <c r="IX15" s="41"/>
      <c r="IY15" s="41"/>
      <c r="IZ15" s="41"/>
      <c r="JA15" s="41"/>
      <c r="JB15" s="41"/>
      <c r="JC15" s="41"/>
      <c r="JD15" s="41"/>
      <c r="JE15" s="41"/>
      <c r="JF15" s="41"/>
      <c r="JG15" s="41"/>
      <c r="JH15" s="41"/>
      <c r="JI15" s="41"/>
      <c r="JJ15" s="41"/>
      <c r="JK15" s="41"/>
      <c r="JL15" s="41"/>
      <c r="JM15" s="41"/>
      <c r="JN15" s="41"/>
      <c r="JO15" s="41"/>
      <c r="JP15" s="41"/>
      <c r="JQ15" s="41"/>
      <c r="JR15" s="41"/>
      <c r="JS15" s="41"/>
      <c r="JT15" s="41"/>
      <c r="JU15" s="41"/>
      <c r="JV15" s="41"/>
      <c r="JW15" s="41"/>
      <c r="JX15" s="41"/>
      <c r="JY15" s="41"/>
      <c r="JZ15" s="41"/>
      <c r="KA15" s="41"/>
      <c r="KB15" s="41"/>
      <c r="KC15" s="41"/>
      <c r="KD15" s="41"/>
      <c r="KE15" s="41"/>
      <c r="KF15" s="41"/>
      <c r="KG15" s="41"/>
      <c r="KH15" s="41"/>
      <c r="KI15" s="41"/>
      <c r="KJ15" s="41"/>
      <c r="KK15" s="41"/>
      <c r="KL15" s="41"/>
      <c r="KM15" s="41"/>
      <c r="KN15" s="41"/>
      <c r="KO15" s="41"/>
      <c r="KP15" s="41"/>
      <c r="KQ15" s="41"/>
      <c r="KR15" s="41"/>
      <c r="KS15" s="41"/>
      <c r="KT15" s="41"/>
      <c r="KU15" s="41"/>
      <c r="KV15" s="41"/>
      <c r="KW15" s="41"/>
      <c r="KX15" s="41"/>
      <c r="KY15" s="41"/>
      <c r="KZ15" s="41"/>
      <c r="LA15" s="41"/>
      <c r="LB15" s="41"/>
      <c r="LC15" s="41"/>
      <c r="LD15" s="41"/>
      <c r="LE15" s="41"/>
      <c r="LF15" s="41"/>
      <c r="LG15" s="41"/>
      <c r="LH15" s="41"/>
      <c r="LI15" s="41"/>
      <c r="LJ15" s="41"/>
      <c r="LK15" s="41"/>
      <c r="LL15" s="41"/>
      <c r="LM15" s="41"/>
      <c r="LN15" s="41"/>
      <c r="LO15" s="41"/>
      <c r="LP15" s="41"/>
      <c r="LQ15" s="41"/>
      <c r="LR15" s="41"/>
      <c r="LS15" s="41"/>
      <c r="LT15" s="41"/>
      <c r="LU15" s="41"/>
      <c r="LV15" s="41"/>
      <c r="LW15" s="41"/>
      <c r="LX15" s="41"/>
      <c r="LY15" s="41"/>
      <c r="LZ15" s="41"/>
      <c r="MA15" s="41"/>
      <c r="MB15" s="41"/>
      <c r="MC15" s="41"/>
      <c r="MD15" s="41"/>
      <c r="ME15" s="41"/>
      <c r="MF15" s="41"/>
      <c r="MG15" s="41"/>
      <c r="MH15" s="41"/>
      <c r="MI15" s="41"/>
      <c r="MJ15" s="41"/>
      <c r="MK15" s="41"/>
      <c r="ML15" s="41"/>
      <c r="MM15" s="41"/>
      <c r="MN15" s="41"/>
      <c r="MO15" s="41"/>
      <c r="MP15" s="41"/>
      <c r="MQ15" s="41"/>
      <c r="MR15" s="41"/>
      <c r="MS15" s="41"/>
      <c r="MT15" s="41"/>
      <c r="MU15" s="41"/>
      <c r="MV15" s="41"/>
      <c r="MW15" s="41"/>
      <c r="MX15" s="41"/>
      <c r="MY15" s="41"/>
      <c r="MZ15" s="41"/>
      <c r="NA15" s="41"/>
      <c r="NB15" s="41"/>
      <c r="NC15" s="41"/>
      <c r="ND15" s="41"/>
      <c r="NE15" s="41"/>
      <c r="NF15" s="41"/>
      <c r="NG15" s="41"/>
      <c r="NH15" s="41"/>
      <c r="NI15" s="41"/>
      <c r="NJ15" s="41"/>
      <c r="NK15" s="41"/>
      <c r="NL15" s="41"/>
      <c r="NM15" s="41"/>
      <c r="NN15" s="41"/>
      <c r="NO15" s="41"/>
      <c r="NP15" s="41"/>
      <c r="NQ15" s="41"/>
      <c r="NR15" s="41"/>
      <c r="NS15" s="41"/>
      <c r="NT15" s="41"/>
      <c r="NU15" s="41"/>
      <c r="NV15" s="41"/>
      <c r="NW15" s="41"/>
      <c r="NX15" s="41"/>
      <c r="NY15" s="41"/>
      <c r="NZ15" s="41"/>
      <c r="OA15" s="41"/>
      <c r="OB15" s="41"/>
      <c r="OC15" s="41"/>
      <c r="OD15" s="41"/>
      <c r="OE15" s="41"/>
      <c r="OF15" s="41"/>
      <c r="OG15" s="41"/>
      <c r="OH15" s="41"/>
      <c r="OI15" s="41"/>
      <c r="OJ15" s="41"/>
      <c r="OK15" s="41"/>
      <c r="OL15" s="41"/>
      <c r="OM15" s="41"/>
      <c r="ON15" s="41"/>
      <c r="OO15" s="41"/>
      <c r="OP15" s="41"/>
      <c r="OQ15" s="41"/>
      <c r="OR15" s="41"/>
      <c r="OS15" s="41"/>
      <c r="OT15" s="41"/>
      <c r="OU15" s="41"/>
      <c r="OV15" s="41"/>
      <c r="OW15" s="41"/>
      <c r="OX15" s="41"/>
      <c r="OY15" s="41"/>
      <c r="OZ15" s="41"/>
      <c r="PA15" s="41"/>
      <c r="PB15" s="41"/>
      <c r="PC15" s="41"/>
      <c r="PD15" s="41"/>
      <c r="PE15" s="41"/>
      <c r="PF15" s="41"/>
      <c r="PG15" s="41"/>
      <c r="PH15" s="41"/>
      <c r="PI15" s="41"/>
      <c r="PJ15" s="41"/>
      <c r="PK15" s="41"/>
      <c r="PL15" s="41"/>
      <c r="PM15" s="41"/>
      <c r="PN15" s="41"/>
      <c r="PO15" s="41"/>
      <c r="PP15" s="41"/>
      <c r="PQ15" s="41"/>
      <c r="PR15" s="41"/>
      <c r="PS15" s="41"/>
      <c r="PT15" s="41"/>
      <c r="PU15" s="41"/>
      <c r="PV15" s="41"/>
      <c r="PW15" s="41"/>
      <c r="PX15" s="41"/>
      <c r="PY15" s="41"/>
      <c r="PZ15" s="41"/>
      <c r="QA15" s="41"/>
      <c r="QB15" s="41"/>
      <c r="QC15" s="41"/>
      <c r="QD15" s="41"/>
      <c r="QE15" s="41"/>
      <c r="QF15" s="41"/>
      <c r="QG15" s="41"/>
      <c r="QH15" s="41"/>
      <c r="QI15" s="41"/>
      <c r="QJ15" s="41"/>
      <c r="QK15" s="41"/>
      <c r="QL15" s="41"/>
      <c r="QM15" s="41"/>
      <c r="QN15" s="41"/>
      <c r="QO15" s="41"/>
      <c r="QP15" s="41"/>
      <c r="QQ15" s="41"/>
      <c r="QR15" s="41"/>
      <c r="QS15" s="41"/>
      <c r="QT15" s="41"/>
      <c r="QU15" s="41"/>
      <c r="QV15" s="41"/>
      <c r="QW15" s="41"/>
      <c r="QX15" s="41"/>
      <c r="QY15" s="41"/>
      <c r="QZ15" s="41"/>
      <c r="RA15" s="41"/>
      <c r="RB15" s="41"/>
      <c r="RC15" s="41"/>
      <c r="RD15" s="41"/>
      <c r="RE15" s="41"/>
      <c r="RF15" s="41"/>
      <c r="RG15" s="41"/>
      <c r="RH15" s="41"/>
      <c r="RI15" s="41"/>
      <c r="RJ15" s="41"/>
      <c r="RK15" s="41"/>
      <c r="RL15" s="41"/>
      <c r="RM15" s="41"/>
      <c r="RN15" s="41"/>
      <c r="RO15" s="41"/>
      <c r="RP15" s="41"/>
      <c r="RQ15" s="41"/>
      <c r="RR15" s="41"/>
      <c r="RS15" s="41"/>
      <c r="RT15" s="41"/>
      <c r="RU15" s="41"/>
      <c r="RV15" s="41"/>
      <c r="RW15" s="41"/>
      <c r="RX15" s="41"/>
      <c r="RY15" s="41"/>
      <c r="RZ15" s="41"/>
      <c r="SA15" s="41"/>
      <c r="SB15" s="41"/>
      <c r="SC15" s="41"/>
      <c r="SD15" s="41"/>
      <c r="SE15" s="41"/>
      <c r="SF15" s="41"/>
      <c r="SG15" s="41"/>
      <c r="SH15" s="41"/>
      <c r="SI15" s="41"/>
      <c r="SJ15" s="41"/>
      <c r="SK15" s="41"/>
      <c r="SL15" s="41"/>
      <c r="SM15" s="41"/>
      <c r="SN15" s="41"/>
      <c r="SO15" s="41"/>
      <c r="SP15" s="41"/>
      <c r="SQ15" s="41"/>
      <c r="SR15" s="41"/>
      <c r="SS15" s="41"/>
      <c r="ST15" s="41"/>
      <c r="SU15" s="41"/>
      <c r="SV15" s="41"/>
      <c r="SW15" s="41"/>
      <c r="SX15" s="41"/>
      <c r="SY15" s="41"/>
      <c r="SZ15" s="41"/>
      <c r="TA15" s="41"/>
      <c r="TB15" s="41"/>
      <c r="TC15" s="41"/>
      <c r="TD15" s="41"/>
      <c r="TE15" s="41"/>
      <c r="TF15" s="41"/>
      <c r="TG15" s="41"/>
      <c r="TH15" s="41"/>
      <c r="TI15" s="41"/>
      <c r="TJ15" s="41"/>
      <c r="TK15" s="41"/>
      <c r="TL15" s="41"/>
      <c r="TM15" s="41"/>
      <c r="TN15" s="41"/>
      <c r="TO15" s="41"/>
      <c r="TP15" s="41"/>
      <c r="TQ15" s="41"/>
      <c r="TR15" s="41"/>
      <c r="TS15" s="41"/>
      <c r="TT15" s="41"/>
      <c r="TU15" s="41"/>
      <c r="TV15" s="41"/>
      <c r="TW15" s="41"/>
      <c r="TX15" s="41"/>
      <c r="TY15" s="41"/>
      <c r="TZ15" s="41"/>
      <c r="UA15" s="41"/>
      <c r="UB15" s="41"/>
      <c r="UC15" s="41"/>
      <c r="UD15" s="41"/>
      <c r="UE15" s="41"/>
      <c r="UF15" s="41"/>
      <c r="UG15" s="41"/>
      <c r="UH15" s="41"/>
      <c r="UI15" s="41"/>
      <c r="UJ15" s="41"/>
      <c r="UK15" s="41"/>
      <c r="UL15" s="41"/>
      <c r="UM15" s="41"/>
      <c r="UN15" s="41"/>
      <c r="UO15" s="41"/>
      <c r="UP15" s="41"/>
      <c r="UQ15" s="41"/>
      <c r="UR15" s="41"/>
      <c r="US15" s="41"/>
      <c r="UT15" s="41"/>
      <c r="UU15" s="41"/>
      <c r="UV15" s="41"/>
      <c r="UW15" s="41"/>
      <c r="UX15" s="41"/>
      <c r="UY15" s="41"/>
      <c r="UZ15" s="41"/>
      <c r="VA15" s="41"/>
      <c r="VB15" s="41"/>
      <c r="VC15" s="41"/>
      <c r="VD15" s="41"/>
      <c r="VE15" s="41"/>
      <c r="VF15" s="41"/>
      <c r="VG15" s="41"/>
      <c r="VH15" s="41"/>
      <c r="VI15" s="41"/>
      <c r="VJ15" s="41"/>
      <c r="VK15" s="41"/>
      <c r="VL15" s="41"/>
      <c r="VM15" s="41"/>
      <c r="VN15" s="41"/>
      <c r="VO15" s="41"/>
      <c r="VP15" s="41"/>
      <c r="VQ15" s="41"/>
      <c r="VR15" s="41"/>
      <c r="VS15" s="41"/>
      <c r="VT15" s="41"/>
      <c r="VU15" s="41"/>
      <c r="VV15" s="41"/>
      <c r="VW15" s="41"/>
      <c r="VX15" s="41"/>
      <c r="VY15" s="41"/>
      <c r="VZ15" s="41"/>
      <c r="WA15" s="41"/>
      <c r="WB15" s="41"/>
      <c r="WC15" s="41"/>
      <c r="WD15" s="41"/>
      <c r="WE15" s="41"/>
      <c r="WF15" s="41"/>
      <c r="WG15" s="41"/>
      <c r="WH15" s="41"/>
      <c r="WI15" s="41"/>
      <c r="WJ15" s="41"/>
      <c r="WK15" s="41"/>
      <c r="WL15" s="41"/>
      <c r="WM15" s="41"/>
      <c r="WN15" s="41"/>
      <c r="WO15" s="41"/>
      <c r="WP15" s="41"/>
      <c r="WQ15" s="41"/>
      <c r="WR15" s="41"/>
      <c r="WS15" s="41"/>
      <c r="WT15" s="41"/>
      <c r="WU15" s="41"/>
      <c r="WV15" s="41"/>
      <c r="WW15" s="41"/>
      <c r="WX15" s="41"/>
      <c r="WY15" s="41"/>
      <c r="WZ15" s="41"/>
      <c r="XA15" s="41"/>
      <c r="XB15" s="41"/>
      <c r="XC15" s="41"/>
      <c r="XD15" s="41"/>
      <c r="XE15" s="41"/>
      <c r="XF15" s="41"/>
      <c r="XG15" s="41"/>
      <c r="XH15" s="41"/>
      <c r="XI15" s="41"/>
      <c r="XJ15" s="41"/>
      <c r="XK15" s="41"/>
      <c r="XL15" s="41"/>
      <c r="XM15" s="41"/>
      <c r="XN15" s="41"/>
      <c r="XO15" s="41"/>
      <c r="XP15" s="41"/>
      <c r="XQ15" s="41"/>
      <c r="XR15" s="41"/>
      <c r="XS15" s="41"/>
      <c r="XT15" s="41"/>
      <c r="XU15" s="41"/>
      <c r="XV15" s="41"/>
      <c r="XW15" s="41"/>
      <c r="XX15" s="41"/>
      <c r="XY15" s="41"/>
      <c r="XZ15" s="41"/>
      <c r="YA15" s="41"/>
      <c r="YB15" s="41"/>
      <c r="YC15" s="41"/>
      <c r="YD15" s="41"/>
      <c r="YE15" s="41"/>
      <c r="YF15" s="41"/>
      <c r="YG15" s="41"/>
      <c r="YH15" s="41"/>
      <c r="YI15" s="41"/>
      <c r="YJ15" s="41"/>
      <c r="YK15" s="41"/>
      <c r="YL15" s="41"/>
      <c r="YM15" s="41"/>
      <c r="YN15" s="41"/>
      <c r="YO15" s="41"/>
      <c r="YP15" s="41"/>
      <c r="YQ15" s="41"/>
      <c r="YR15" s="41"/>
      <c r="YS15" s="41"/>
      <c r="YT15" s="41"/>
      <c r="YU15" s="41"/>
      <c r="YV15" s="41"/>
      <c r="YW15" s="41"/>
      <c r="YX15" s="41"/>
      <c r="YY15" s="41"/>
      <c r="YZ15" s="41"/>
      <c r="ZA15" s="41"/>
      <c r="ZB15" s="41"/>
      <c r="ZC15" s="41"/>
      <c r="ZD15" s="41"/>
      <c r="ZE15" s="41"/>
      <c r="ZF15" s="41"/>
      <c r="ZG15" s="41"/>
      <c r="ZH15" s="41"/>
      <c r="ZI15" s="41"/>
      <c r="ZJ15" s="41"/>
      <c r="ZK15" s="41"/>
      <c r="ZL15" s="41"/>
      <c r="ZM15" s="41"/>
      <c r="ZN15" s="41"/>
      <c r="ZO15" s="41"/>
      <c r="ZP15" s="41"/>
      <c r="ZQ15" s="41"/>
      <c r="ZR15" s="41"/>
      <c r="ZS15" s="41"/>
      <c r="ZT15" s="41"/>
      <c r="ZU15" s="41"/>
      <c r="ZV15" s="41"/>
      <c r="ZW15" s="41"/>
      <c r="ZX15" s="41"/>
      <c r="ZY15" s="41"/>
      <c r="ZZ15" s="41"/>
      <c r="AAA15" s="41"/>
      <c r="AAB15" s="41"/>
      <c r="AAC15" s="41"/>
      <c r="AAD15" s="41"/>
      <c r="AAE15" s="41"/>
      <c r="AAF15" s="41"/>
      <c r="AAG15" s="41"/>
      <c r="AAH15" s="41"/>
      <c r="AAI15" s="41"/>
      <c r="AAJ15" s="41"/>
      <c r="AAK15" s="41"/>
      <c r="AAL15" s="41"/>
      <c r="AAM15" s="41"/>
      <c r="AAN15" s="41"/>
      <c r="AAO15" s="41"/>
      <c r="AAP15" s="41"/>
      <c r="AAQ15" s="41"/>
      <c r="AAR15" s="41"/>
      <c r="AAS15" s="41"/>
      <c r="AAT15" s="41"/>
      <c r="AAU15" s="41"/>
      <c r="AAV15" s="41"/>
      <c r="AAW15" s="41"/>
      <c r="AAX15" s="41"/>
      <c r="AAY15" s="41"/>
      <c r="AAZ15" s="41"/>
      <c r="ABA15" s="41"/>
      <c r="ABB15" s="41"/>
      <c r="ABC15" s="41"/>
      <c r="ABD15" s="41"/>
      <c r="ABE15" s="41"/>
      <c r="ABF15" s="41"/>
      <c r="ABG15" s="41"/>
      <c r="ABH15" s="41"/>
      <c r="ABI15" s="41"/>
      <c r="ABJ15" s="41"/>
      <c r="ABK15" s="41"/>
      <c r="ABL15" s="41"/>
      <c r="ABM15" s="41"/>
      <c r="ABN15" s="41"/>
      <c r="ABO15" s="41"/>
      <c r="ABP15" s="41"/>
      <c r="ABQ15" s="41"/>
      <c r="ABR15" s="41"/>
      <c r="ABS15" s="41"/>
      <c r="ABT15" s="41"/>
      <c r="ABU15" s="41"/>
      <c r="ABV15" s="41"/>
      <c r="ABW15" s="41"/>
      <c r="ABX15" s="41"/>
      <c r="ABY15" s="41"/>
      <c r="ABZ15" s="41"/>
      <c r="ACA15" s="41"/>
      <c r="ACB15" s="41"/>
      <c r="ACC15" s="41"/>
      <c r="ACD15" s="41"/>
      <c r="ACE15" s="41"/>
      <c r="ACF15" s="41"/>
      <c r="ACG15" s="41"/>
      <c r="ACH15" s="41"/>
      <c r="ACI15" s="41"/>
      <c r="ACJ15" s="41"/>
      <c r="ACK15" s="41"/>
      <c r="ACL15" s="41"/>
      <c r="ACM15" s="41"/>
      <c r="ACN15" s="41"/>
      <c r="ACO15" s="41"/>
      <c r="ACP15" s="41"/>
      <c r="ACQ15" s="41"/>
      <c r="ACR15" s="41"/>
      <c r="ACS15" s="41"/>
      <c r="ACT15" s="41"/>
      <c r="ACU15" s="41"/>
      <c r="ACV15" s="41"/>
      <c r="ACW15" s="41"/>
      <c r="ACX15" s="41"/>
      <c r="ACY15" s="41"/>
      <c r="ACZ15" s="41"/>
      <c r="ADA15" s="41"/>
      <c r="ADB15" s="41"/>
      <c r="ADC15" s="41"/>
      <c r="ADD15" s="41"/>
      <c r="ADE15" s="41"/>
      <c r="ADF15" s="41"/>
      <c r="ADG15" s="41"/>
      <c r="ADH15" s="41"/>
      <c r="ADI15" s="41"/>
      <c r="ADJ15" s="41"/>
      <c r="ADK15" s="41"/>
      <c r="ADL15" s="41"/>
      <c r="ADM15" s="41"/>
      <c r="ADN15" s="41"/>
      <c r="ADO15" s="41"/>
      <c r="ADP15" s="41"/>
      <c r="ADQ15" s="41"/>
      <c r="ADR15" s="41"/>
      <c r="ADS15" s="41"/>
      <c r="ADT15" s="41"/>
      <c r="ADU15" s="41"/>
      <c r="ADV15" s="41"/>
      <c r="ADW15" s="41"/>
      <c r="ADX15" s="41"/>
      <c r="ADY15" s="41"/>
      <c r="ADZ15" s="41"/>
      <c r="AEA15" s="41"/>
      <c r="AEB15" s="41"/>
      <c r="AEC15" s="41"/>
      <c r="AED15" s="41"/>
      <c r="AEE15" s="41"/>
      <c r="AEF15" s="41"/>
      <c r="AEG15" s="41"/>
      <c r="AEH15" s="41"/>
      <c r="AEI15" s="41"/>
      <c r="AEJ15" s="41"/>
      <c r="AEK15" s="41"/>
      <c r="AEL15" s="41"/>
      <c r="AEM15" s="41"/>
      <c r="AEN15" s="41"/>
      <c r="AEO15" s="41"/>
      <c r="AEP15" s="41"/>
      <c r="AEQ15" s="41"/>
      <c r="AER15" s="41"/>
      <c r="AES15" s="41"/>
      <c r="AET15" s="41"/>
      <c r="AEU15" s="41"/>
      <c r="AEV15" s="41"/>
      <c r="AEW15" s="41"/>
      <c r="AEX15" s="41"/>
      <c r="AEY15" s="41"/>
      <c r="AEZ15" s="41"/>
      <c r="AFA15" s="41"/>
      <c r="AFB15" s="41"/>
      <c r="AFC15" s="41"/>
      <c r="AFD15" s="41"/>
      <c r="AFE15" s="41"/>
      <c r="AFF15" s="41"/>
      <c r="AFG15" s="41"/>
      <c r="AFH15" s="41"/>
      <c r="AFI15" s="41"/>
      <c r="AFJ15" s="41"/>
      <c r="AFK15" s="41"/>
      <c r="AFL15" s="41"/>
      <c r="AFM15" s="41"/>
      <c r="AFN15" s="41"/>
      <c r="AFO15" s="41"/>
      <c r="AFP15" s="41"/>
      <c r="AFQ15" s="41"/>
      <c r="AFR15" s="41"/>
      <c r="AFS15" s="41"/>
      <c r="AFT15" s="41"/>
      <c r="AFU15" s="41"/>
      <c r="AFV15" s="41"/>
      <c r="AFW15" s="41"/>
      <c r="AFX15" s="41"/>
      <c r="AFY15" s="41"/>
      <c r="AFZ15" s="41"/>
      <c r="AGA15" s="41"/>
      <c r="AGB15" s="41"/>
      <c r="AGC15" s="41"/>
      <c r="AGD15" s="41"/>
      <c r="AGE15" s="41"/>
      <c r="AGF15" s="41"/>
      <c r="AGG15" s="41"/>
      <c r="AGH15" s="41"/>
      <c r="AGI15" s="41"/>
      <c r="AGJ15" s="41"/>
      <c r="AGK15" s="41"/>
      <c r="AGL15" s="41"/>
      <c r="AGM15" s="41"/>
      <c r="AGN15" s="41"/>
      <c r="AGO15" s="41"/>
      <c r="AGP15" s="41"/>
      <c r="AGQ15" s="41"/>
      <c r="AGR15" s="41"/>
      <c r="AGS15" s="41"/>
      <c r="AGT15" s="41"/>
      <c r="AGU15" s="41"/>
      <c r="AGV15" s="41"/>
      <c r="AGW15" s="41"/>
      <c r="AGX15" s="41"/>
      <c r="AGY15" s="41"/>
      <c r="AGZ15" s="41"/>
      <c r="AHA15" s="41"/>
      <c r="AHB15" s="41"/>
      <c r="AHC15" s="41"/>
      <c r="AHD15" s="41"/>
      <c r="AHE15" s="41"/>
      <c r="AHF15" s="41"/>
      <c r="AHG15" s="41"/>
      <c r="AHH15" s="41"/>
      <c r="AHI15" s="41"/>
      <c r="AHJ15" s="41"/>
      <c r="AHK15" s="41"/>
      <c r="AHL15" s="41"/>
      <c r="AHM15" s="41"/>
      <c r="AHN15" s="41"/>
      <c r="AHO15" s="41"/>
      <c r="AHP15" s="41"/>
      <c r="AHQ15" s="41"/>
      <c r="AHR15" s="41"/>
      <c r="AHS15" s="41"/>
      <c r="AHT15" s="41"/>
      <c r="AHU15" s="41"/>
      <c r="AHV15" s="41"/>
      <c r="AHW15" s="41"/>
      <c r="AHX15" s="41"/>
      <c r="AHY15" s="41"/>
      <c r="AHZ15" s="41"/>
      <c r="AIA15" s="41"/>
      <c r="AIB15" s="41"/>
      <c r="AIC15" s="41"/>
      <c r="AID15" s="41"/>
      <c r="AIE15" s="41"/>
      <c r="AIF15" s="41"/>
      <c r="AIG15" s="41"/>
      <c r="AIH15" s="41"/>
      <c r="AII15" s="41"/>
      <c r="AIJ15" s="41"/>
      <c r="AIK15" s="41"/>
      <c r="AIL15" s="41"/>
      <c r="AIM15" s="41"/>
      <c r="AIN15" s="41"/>
      <c r="AIO15" s="41"/>
      <c r="AIP15" s="41"/>
      <c r="AIQ15" s="41"/>
      <c r="AIR15" s="41"/>
      <c r="AIS15" s="41"/>
      <c r="AIT15" s="41"/>
      <c r="AIU15" s="41"/>
      <c r="AIV15" s="41"/>
      <c r="AIW15" s="41"/>
      <c r="AIX15" s="41"/>
      <c r="AIY15" s="41"/>
      <c r="AIZ15" s="41"/>
      <c r="AJA15" s="41"/>
      <c r="AJB15" s="41"/>
      <c r="AJC15" s="41"/>
      <c r="AJD15" s="41"/>
      <c r="AJE15" s="41"/>
      <c r="AJF15" s="41"/>
      <c r="AJG15" s="41"/>
      <c r="AJH15" s="41"/>
      <c r="AJI15" s="41"/>
      <c r="AJJ15" s="41"/>
      <c r="AJK15" s="41"/>
      <c r="AJL15" s="41"/>
      <c r="AJM15" s="41"/>
      <c r="AJN15" s="41"/>
      <c r="AJO15" s="41"/>
      <c r="AJP15" s="41"/>
      <c r="AJQ15" s="41"/>
      <c r="AJR15" s="41"/>
      <c r="AJS15" s="41"/>
      <c r="AJT15" s="41"/>
      <c r="AJU15" s="41"/>
      <c r="AJV15" s="41"/>
      <c r="AJW15" s="41"/>
      <c r="AJX15" s="41"/>
      <c r="AJY15" s="41"/>
      <c r="AJZ15" s="41"/>
      <c r="AKA15" s="41"/>
      <c r="AKB15" s="41"/>
      <c r="AKC15" s="41"/>
      <c r="AKD15" s="41"/>
      <c r="AKE15" s="41"/>
      <c r="AKF15" s="41"/>
      <c r="AKG15" s="41"/>
      <c r="AKH15" s="41"/>
      <c r="AKI15" s="41"/>
      <c r="AKJ15" s="41"/>
      <c r="AKK15" s="41"/>
      <c r="AKL15" s="41"/>
      <c r="AKM15" s="41"/>
      <c r="AKN15" s="41"/>
      <c r="AKO15" s="41"/>
      <c r="AKP15" s="41"/>
      <c r="AKQ15" s="41"/>
      <c r="AKR15" s="41"/>
      <c r="AKS15" s="41"/>
      <c r="AKT15" s="41"/>
      <c r="AKU15" s="41"/>
      <c r="AKV15" s="41"/>
      <c r="AKW15" s="41"/>
      <c r="AKX15" s="41"/>
      <c r="AKY15" s="41"/>
      <c r="AKZ15" s="41"/>
      <c r="ALA15" s="41"/>
      <c r="ALB15" s="41"/>
      <c r="ALC15" s="41"/>
      <c r="ALD15" s="41"/>
      <c r="ALE15" s="41"/>
      <c r="ALF15" s="41"/>
      <c r="ALG15" s="41"/>
      <c r="ALH15" s="41"/>
      <c r="ALI15" s="41"/>
      <c r="ALJ15" s="41"/>
      <c r="ALK15" s="41"/>
      <c r="ALL15" s="41"/>
      <c r="ALM15" s="41"/>
      <c r="ALN15" s="41"/>
      <c r="ALO15" s="41"/>
      <c r="ALP15" s="41"/>
      <c r="ALQ15" s="41"/>
      <c r="ALR15" s="41"/>
      <c r="ALS15" s="41"/>
      <c r="ALT15" s="41"/>
      <c r="ALU15" s="41"/>
      <c r="ALV15" s="41"/>
      <c r="ALW15" s="41"/>
      <c r="ALX15" s="41"/>
      <c r="ALY15" s="41"/>
      <c r="ALZ15" s="41"/>
      <c r="AMA15" s="41"/>
      <c r="AMB15" s="41"/>
      <c r="AMC15" s="41"/>
      <c r="AMD15" s="41"/>
      <c r="AME15" s="41"/>
      <c r="AMF15" s="41"/>
      <c r="AMG15" s="41"/>
      <c r="AMH15" s="41"/>
      <c r="AMI15" s="41"/>
      <c r="AMJ15" s="41"/>
    </row>
    <row r="16" customHeight="1" spans="1:13">
      <c r="A16" s="6">
        <v>10</v>
      </c>
      <c r="B16" s="16" t="s">
        <v>61</v>
      </c>
      <c r="C16" s="17">
        <v>0</v>
      </c>
      <c r="D16" s="17">
        <v>0</v>
      </c>
      <c r="E16" s="18">
        <f t="shared" si="0"/>
        <v>0</v>
      </c>
      <c r="F16" s="22">
        <v>0</v>
      </c>
      <c r="G16" s="17">
        <v>0</v>
      </c>
      <c r="H16" s="17">
        <f t="shared" si="1"/>
        <v>0</v>
      </c>
      <c r="I16" s="18">
        <v>0.166666666666667</v>
      </c>
      <c r="J16" s="17">
        <f t="shared" si="2"/>
        <v>0</v>
      </c>
      <c r="K16" s="17">
        <f t="shared" si="3"/>
        <v>-0.166666666666667</v>
      </c>
      <c r="L16" s="41"/>
      <c r="M16" s="40"/>
    </row>
    <row r="17" customHeight="1" spans="1:13">
      <c r="A17" s="6">
        <v>11</v>
      </c>
      <c r="B17" s="16" t="s">
        <v>14</v>
      </c>
      <c r="C17" s="17">
        <v>0</v>
      </c>
      <c r="D17" s="17">
        <v>0</v>
      </c>
      <c r="E17" s="18">
        <f t="shared" si="0"/>
        <v>0</v>
      </c>
      <c r="F17" s="22">
        <v>0</v>
      </c>
      <c r="G17" s="17">
        <v>0</v>
      </c>
      <c r="H17" s="17">
        <f t="shared" si="1"/>
        <v>0</v>
      </c>
      <c r="I17" s="18">
        <v>0</v>
      </c>
      <c r="J17" s="17">
        <f t="shared" si="2"/>
        <v>0</v>
      </c>
      <c r="K17" s="17">
        <f t="shared" si="3"/>
        <v>0</v>
      </c>
      <c r="M17" s="40"/>
    </row>
    <row r="18" customHeight="1" spans="1:13">
      <c r="A18" s="6">
        <v>12</v>
      </c>
      <c r="B18" s="10" t="s">
        <v>62</v>
      </c>
      <c r="C18" s="20">
        <v>0.333333333333333</v>
      </c>
      <c r="D18" s="20">
        <v>0.527777777777778</v>
      </c>
      <c r="E18" s="21">
        <f t="shared" si="0"/>
        <v>0.194444444444444</v>
      </c>
      <c r="F18" s="20">
        <v>0.569444444444444</v>
      </c>
      <c r="G18" s="20">
        <v>0.663888888888889</v>
      </c>
      <c r="H18" s="20">
        <f t="shared" si="1"/>
        <v>0.0944444444444444</v>
      </c>
      <c r="I18" s="21">
        <v>0.333333333333333</v>
      </c>
      <c r="J18" s="20">
        <f t="shared" si="2"/>
        <v>0.288888888888889</v>
      </c>
      <c r="K18" s="20">
        <f t="shared" si="3"/>
        <v>-0.0444444444444441</v>
      </c>
      <c r="M18" s="40"/>
    </row>
    <row r="19" customHeight="1" spans="1:13">
      <c r="A19" s="6">
        <v>13</v>
      </c>
      <c r="B19" s="10" t="s">
        <v>63</v>
      </c>
      <c r="C19" s="20">
        <v>0.333333333333333</v>
      </c>
      <c r="D19" s="20">
        <v>0.531944444444444</v>
      </c>
      <c r="E19" s="21">
        <f t="shared" si="0"/>
        <v>0.198611111111111</v>
      </c>
      <c r="F19" s="20">
        <v>0.573611111111111</v>
      </c>
      <c r="G19" s="20">
        <v>0.745833333333333</v>
      </c>
      <c r="H19" s="20">
        <f t="shared" si="1"/>
        <v>0.172222222222222</v>
      </c>
      <c r="I19" s="21">
        <v>0.333333333333333</v>
      </c>
      <c r="J19" s="20">
        <f t="shared" si="2"/>
        <v>0.370833333333333</v>
      </c>
      <c r="K19" s="20">
        <f t="shared" si="3"/>
        <v>0.0375000000000004</v>
      </c>
      <c r="M19" s="40"/>
    </row>
    <row r="20" customHeight="1" spans="1:13">
      <c r="A20" s="6">
        <v>14</v>
      </c>
      <c r="B20" s="23" t="s">
        <v>17</v>
      </c>
      <c r="C20" s="20">
        <v>0.278472222222222</v>
      </c>
      <c r="D20" s="20">
        <v>0.5</v>
      </c>
      <c r="E20" s="21">
        <f t="shared" si="0"/>
        <v>0.221527777777778</v>
      </c>
      <c r="F20" s="20">
        <v>0.541666666666667</v>
      </c>
      <c r="G20" s="20">
        <v>0.7</v>
      </c>
      <c r="H20" s="20">
        <f t="shared" si="1"/>
        <v>0.158333333333333</v>
      </c>
      <c r="I20" s="21">
        <v>0.333333333333333</v>
      </c>
      <c r="J20" s="20">
        <f t="shared" si="2"/>
        <v>0.379861111111111</v>
      </c>
      <c r="K20" s="20">
        <f t="shared" si="3"/>
        <v>0.0465277777777781</v>
      </c>
      <c r="M20" s="40"/>
    </row>
    <row r="21" customHeight="1" spans="1:13">
      <c r="A21" s="6">
        <v>15</v>
      </c>
      <c r="B21" s="23" t="s">
        <v>58</v>
      </c>
      <c r="C21" s="20">
        <v>0.333333333333333</v>
      </c>
      <c r="D21" s="20">
        <v>0.458333333333333</v>
      </c>
      <c r="E21" s="21">
        <f t="shared" si="0"/>
        <v>0.125</v>
      </c>
      <c r="F21" s="20">
        <v>0.5</v>
      </c>
      <c r="G21" s="20">
        <v>0.726388888888889</v>
      </c>
      <c r="H21" s="20">
        <f t="shared" si="1"/>
        <v>0.226388888888889</v>
      </c>
      <c r="I21" s="21">
        <v>0.333333333333333</v>
      </c>
      <c r="J21" s="20">
        <f t="shared" si="2"/>
        <v>0.351388888888889</v>
      </c>
      <c r="K21" s="20">
        <f t="shared" si="3"/>
        <v>0.0180555555555559</v>
      </c>
      <c r="M21" s="40"/>
    </row>
    <row r="22" customHeight="1" spans="1:13">
      <c r="A22" s="6">
        <v>16</v>
      </c>
      <c r="B22" s="23" t="s">
        <v>19</v>
      </c>
      <c r="C22" s="20">
        <v>0.265277777777778</v>
      </c>
      <c r="D22" s="20">
        <v>0.541666666666667</v>
      </c>
      <c r="E22" s="21">
        <f t="shared" si="0"/>
        <v>0.276388888888889</v>
      </c>
      <c r="F22" s="20">
        <v>0.583333333333333</v>
      </c>
      <c r="G22" s="20">
        <v>0.695833333333333</v>
      </c>
      <c r="H22" s="20">
        <f t="shared" si="1"/>
        <v>0.1125</v>
      </c>
      <c r="I22" s="21">
        <v>0.333333333333333</v>
      </c>
      <c r="J22" s="20">
        <f t="shared" si="2"/>
        <v>0.388888888888889</v>
      </c>
      <c r="K22" s="20">
        <f t="shared" si="3"/>
        <v>0.0555555555555558</v>
      </c>
      <c r="M22" s="40"/>
    </row>
    <row r="23" customHeight="1" spans="1:13">
      <c r="A23" s="6">
        <v>17</v>
      </c>
      <c r="B23" s="16" t="s">
        <v>61</v>
      </c>
      <c r="C23" s="17">
        <v>0</v>
      </c>
      <c r="D23" s="17">
        <v>0</v>
      </c>
      <c r="E23" s="18">
        <f t="shared" ref="E20:E37" si="4">D23-C23</f>
        <v>0</v>
      </c>
      <c r="F23" s="22">
        <v>0</v>
      </c>
      <c r="G23" s="17">
        <v>0</v>
      </c>
      <c r="H23" s="17">
        <f t="shared" si="1"/>
        <v>0</v>
      </c>
      <c r="I23" s="18">
        <v>0.166666666666667</v>
      </c>
      <c r="J23" s="17">
        <f t="shared" si="2"/>
        <v>0</v>
      </c>
      <c r="K23" s="17">
        <f t="shared" si="3"/>
        <v>-0.166666666666667</v>
      </c>
      <c r="M23" s="40"/>
    </row>
    <row r="24" customHeight="1" spans="1:13">
      <c r="A24" s="6">
        <v>18</v>
      </c>
      <c r="B24" s="16" t="s">
        <v>14</v>
      </c>
      <c r="C24" s="17">
        <v>0</v>
      </c>
      <c r="D24" s="17">
        <v>0</v>
      </c>
      <c r="E24" s="18">
        <f t="shared" si="4"/>
        <v>0</v>
      </c>
      <c r="F24" s="22">
        <v>0</v>
      </c>
      <c r="G24" s="17">
        <v>0</v>
      </c>
      <c r="H24" s="17">
        <f t="shared" si="1"/>
        <v>0</v>
      </c>
      <c r="I24" s="18">
        <v>0</v>
      </c>
      <c r="J24" s="17">
        <f t="shared" si="2"/>
        <v>0</v>
      </c>
      <c r="K24" s="17">
        <f t="shared" si="3"/>
        <v>0</v>
      </c>
      <c r="M24" s="40"/>
    </row>
    <row r="25" customHeight="1" spans="1:13">
      <c r="A25" s="6">
        <v>19</v>
      </c>
      <c r="B25" s="10" t="s">
        <v>62</v>
      </c>
      <c r="C25" s="20">
        <v>0.333333333333333</v>
      </c>
      <c r="D25" s="20">
        <v>0.513888888888889</v>
      </c>
      <c r="E25" s="21">
        <f t="shared" si="4"/>
        <v>0.180555555555556</v>
      </c>
      <c r="F25" s="20">
        <v>0.555555555555556</v>
      </c>
      <c r="G25" s="20">
        <v>0.74375</v>
      </c>
      <c r="H25" s="20">
        <f t="shared" si="1"/>
        <v>0.188194444444444</v>
      </c>
      <c r="I25" s="21">
        <v>0.333333333333333</v>
      </c>
      <c r="J25" s="20">
        <f t="shared" si="2"/>
        <v>0.36875</v>
      </c>
      <c r="K25" s="20">
        <f t="shared" si="3"/>
        <v>0.035416666666667</v>
      </c>
      <c r="M25" s="40"/>
    </row>
    <row r="26" customHeight="1" spans="1:11">
      <c r="A26" s="6">
        <v>20</v>
      </c>
      <c r="B26" s="10" t="s">
        <v>63</v>
      </c>
      <c r="C26" s="20">
        <v>0.333333333333333</v>
      </c>
      <c r="D26" s="20">
        <v>0.527777777777778</v>
      </c>
      <c r="E26" s="21">
        <f t="shared" si="4"/>
        <v>0.194444444444444</v>
      </c>
      <c r="F26" s="20">
        <v>0.569444444444444</v>
      </c>
      <c r="G26" s="20">
        <v>0.691666666666667</v>
      </c>
      <c r="H26" s="20">
        <f t="shared" si="1"/>
        <v>0.122222222222222</v>
      </c>
      <c r="I26" s="21">
        <v>0.333333333333333</v>
      </c>
      <c r="J26" s="20">
        <f t="shared" si="2"/>
        <v>0.316666666666667</v>
      </c>
      <c r="K26" s="20">
        <f t="shared" si="3"/>
        <v>-0.0166666666666663</v>
      </c>
    </row>
    <row r="27" customHeight="1" spans="1:11">
      <c r="A27" s="6">
        <v>21</v>
      </c>
      <c r="B27" s="23" t="s">
        <v>17</v>
      </c>
      <c r="C27" s="20">
        <v>0.333333333333333</v>
      </c>
      <c r="D27" s="20">
        <v>0.5</v>
      </c>
      <c r="E27" s="21">
        <f t="shared" si="4"/>
        <v>0.166666666666667</v>
      </c>
      <c r="F27" s="20">
        <v>0.541666666666667</v>
      </c>
      <c r="G27" s="20">
        <v>0.641666666666667</v>
      </c>
      <c r="H27" s="20">
        <f t="shared" si="1"/>
        <v>0.1</v>
      </c>
      <c r="I27" s="21">
        <v>0.333333333333333</v>
      </c>
      <c r="J27" s="20">
        <f t="shared" si="2"/>
        <v>0.266666666666667</v>
      </c>
      <c r="K27" s="20">
        <f t="shared" si="3"/>
        <v>-0.0666666666666662</v>
      </c>
    </row>
    <row r="28" customHeight="1" spans="1:11">
      <c r="A28" s="6">
        <v>22</v>
      </c>
      <c r="B28" s="23" t="s">
        <v>58</v>
      </c>
      <c r="C28" s="20">
        <v>0.333333333333333</v>
      </c>
      <c r="D28" s="20">
        <v>0.527777777777778</v>
      </c>
      <c r="E28" s="21">
        <f t="shared" si="4"/>
        <v>0.194444444444444</v>
      </c>
      <c r="F28" s="20">
        <v>0.569444444444444</v>
      </c>
      <c r="G28" s="20">
        <v>0.705555555555556</v>
      </c>
      <c r="H28" s="20">
        <f t="shared" si="1"/>
        <v>0.136111111111111</v>
      </c>
      <c r="I28" s="21">
        <v>0.333333333333333</v>
      </c>
      <c r="J28" s="20">
        <f t="shared" si="2"/>
        <v>0.330555555555556</v>
      </c>
      <c r="K28" s="20">
        <f t="shared" si="3"/>
        <v>-0.00277777777777732</v>
      </c>
    </row>
    <row r="29" customHeight="1" spans="1:11">
      <c r="A29" s="6">
        <v>23</v>
      </c>
      <c r="B29" s="23" t="s">
        <v>19</v>
      </c>
      <c r="C29" s="20">
        <v>0.333333333333333</v>
      </c>
      <c r="D29" s="20">
        <v>0.527777777777778</v>
      </c>
      <c r="E29" s="21">
        <f t="shared" si="4"/>
        <v>0.194444444444444</v>
      </c>
      <c r="F29" s="20">
        <v>0.569444444444444</v>
      </c>
      <c r="G29" s="20">
        <v>0.690277777777778</v>
      </c>
      <c r="H29" s="20">
        <f t="shared" si="1"/>
        <v>0.120833333333333</v>
      </c>
      <c r="I29" s="21">
        <v>0.333333333333333</v>
      </c>
      <c r="J29" s="20">
        <f t="shared" si="2"/>
        <v>0.315277777777778</v>
      </c>
      <c r="K29" s="20">
        <f t="shared" si="3"/>
        <v>-0.0180555555555552</v>
      </c>
    </row>
    <row r="30" customHeight="1" spans="1:11">
      <c r="A30" s="6">
        <v>24</v>
      </c>
      <c r="B30" s="16" t="s">
        <v>61</v>
      </c>
      <c r="C30" s="17">
        <v>0</v>
      </c>
      <c r="D30" s="17">
        <v>0</v>
      </c>
      <c r="E30" s="18">
        <f t="shared" si="4"/>
        <v>0</v>
      </c>
      <c r="F30" s="22">
        <v>0</v>
      </c>
      <c r="G30" s="17">
        <v>0</v>
      </c>
      <c r="H30" s="17">
        <f t="shared" si="1"/>
        <v>0</v>
      </c>
      <c r="I30" s="18">
        <v>0.166666666666667</v>
      </c>
      <c r="J30" s="17">
        <f t="shared" si="2"/>
        <v>0</v>
      </c>
      <c r="K30" s="17">
        <f t="shared" si="3"/>
        <v>-0.166666666666667</v>
      </c>
    </row>
    <row r="31" customHeight="1" spans="1:11">
      <c r="A31" s="24">
        <v>25</v>
      </c>
      <c r="B31" s="16" t="s">
        <v>14</v>
      </c>
      <c r="C31" s="17">
        <v>0</v>
      </c>
      <c r="D31" s="17">
        <v>0</v>
      </c>
      <c r="E31" s="18">
        <f t="shared" si="4"/>
        <v>0</v>
      </c>
      <c r="F31" s="22">
        <v>0</v>
      </c>
      <c r="G31" s="17">
        <v>0</v>
      </c>
      <c r="H31" s="17">
        <f t="shared" si="1"/>
        <v>0</v>
      </c>
      <c r="I31" s="18">
        <v>0</v>
      </c>
      <c r="J31" s="17">
        <f t="shared" si="2"/>
        <v>0</v>
      </c>
      <c r="K31" s="17">
        <f t="shared" si="3"/>
        <v>0</v>
      </c>
    </row>
    <row r="32" customHeight="1" spans="1:11">
      <c r="A32" s="6">
        <v>26</v>
      </c>
      <c r="B32" s="23" t="s">
        <v>62</v>
      </c>
      <c r="C32" s="20">
        <v>0.333333333333333</v>
      </c>
      <c r="D32" s="20">
        <v>0.555555555555556</v>
      </c>
      <c r="E32" s="21">
        <f t="shared" si="4"/>
        <v>0.222222222222222</v>
      </c>
      <c r="F32" s="20">
        <v>0.597222222222222</v>
      </c>
      <c r="G32" s="20">
        <v>0.695138888888889</v>
      </c>
      <c r="H32" s="20">
        <f t="shared" si="1"/>
        <v>0.0979166666666667</v>
      </c>
      <c r="I32" s="21">
        <v>0.333333333333333</v>
      </c>
      <c r="J32" s="20">
        <f t="shared" si="2"/>
        <v>0.320138888888889</v>
      </c>
      <c r="K32" s="20">
        <f t="shared" si="3"/>
        <v>-0.0131944444444441</v>
      </c>
    </row>
    <row r="33" customHeight="1" spans="1:11">
      <c r="A33" s="6">
        <v>27</v>
      </c>
      <c r="B33" s="23" t="s">
        <v>63</v>
      </c>
      <c r="C33" s="20">
        <v>0.333333333333333</v>
      </c>
      <c r="D33" s="20">
        <v>0.484722222222222</v>
      </c>
      <c r="E33" s="21">
        <f t="shared" si="4"/>
        <v>0.151388888888889</v>
      </c>
      <c r="F33" s="20">
        <v>0.541666666666667</v>
      </c>
      <c r="G33" s="20">
        <v>0.606944444444444</v>
      </c>
      <c r="H33" s="20">
        <f t="shared" si="1"/>
        <v>0.0652777777777778</v>
      </c>
      <c r="I33" s="21">
        <v>0.333333333333333</v>
      </c>
      <c r="J33" s="20">
        <f t="shared" si="2"/>
        <v>0.216666666666667</v>
      </c>
      <c r="K33" s="20">
        <f t="shared" si="3"/>
        <v>-0.116666666666666</v>
      </c>
    </row>
    <row r="34" customHeight="1" spans="1:11">
      <c r="A34" s="24">
        <v>28</v>
      </c>
      <c r="B34" s="25" t="s">
        <v>17</v>
      </c>
      <c r="C34" s="20">
        <v>0.333333333333333</v>
      </c>
      <c r="D34" s="20">
        <v>0.541666666666667</v>
      </c>
      <c r="E34" s="21">
        <f t="shared" si="4"/>
        <v>0.208333333333333</v>
      </c>
      <c r="F34" s="20">
        <v>0.583333333333333</v>
      </c>
      <c r="G34" s="20">
        <v>0.711805555555556</v>
      </c>
      <c r="H34" s="20">
        <f t="shared" si="1"/>
        <v>0.128472222222222</v>
      </c>
      <c r="I34" s="21">
        <v>0.333333333333333</v>
      </c>
      <c r="J34" s="20">
        <f t="shared" si="2"/>
        <v>0.336805555555556</v>
      </c>
      <c r="K34" s="20">
        <f t="shared" si="3"/>
        <v>0.00347222222222254</v>
      </c>
    </row>
    <row r="35" customHeight="1" spans="1:11">
      <c r="A35" s="24">
        <v>29</v>
      </c>
      <c r="B35" s="25" t="s">
        <v>58</v>
      </c>
      <c r="C35" s="20">
        <v>0.268055555555556</v>
      </c>
      <c r="D35" s="20">
        <v>0.527777777777778</v>
      </c>
      <c r="E35" s="21">
        <f t="shared" si="4"/>
        <v>0.259722222222222</v>
      </c>
      <c r="F35" s="20">
        <v>0.569444444444444</v>
      </c>
      <c r="G35" s="20">
        <v>0.70625</v>
      </c>
      <c r="H35" s="20">
        <f t="shared" si="1"/>
        <v>0.136805555555556</v>
      </c>
      <c r="I35" s="21">
        <v>0.333333333333333</v>
      </c>
      <c r="J35" s="20">
        <f t="shared" si="2"/>
        <v>0.396527777777778</v>
      </c>
      <c r="K35" s="20">
        <f t="shared" si="3"/>
        <v>0.0631944444444449</v>
      </c>
    </row>
    <row r="36" customHeight="1" spans="1:11">
      <c r="A36" s="24">
        <v>30</v>
      </c>
      <c r="B36" s="25" t="s">
        <v>19</v>
      </c>
      <c r="C36" s="20">
        <v>0.333333333333333</v>
      </c>
      <c r="D36" s="20">
        <v>0.513888888888889</v>
      </c>
      <c r="E36" s="21">
        <f t="shared" si="4"/>
        <v>0.180555555555556</v>
      </c>
      <c r="F36" s="20">
        <v>0.555555555555556</v>
      </c>
      <c r="G36" s="20">
        <v>0.694444444444444</v>
      </c>
      <c r="H36" s="20">
        <f t="shared" si="1"/>
        <v>0.138888888888889</v>
      </c>
      <c r="I36" s="21">
        <v>0.333333333333333</v>
      </c>
      <c r="J36" s="20">
        <f t="shared" si="2"/>
        <v>0.319444444444444</v>
      </c>
      <c r="K36" s="20">
        <f t="shared" si="3"/>
        <v>-0.0138888888888886</v>
      </c>
    </row>
    <row r="37" customHeight="1" spans="1:11">
      <c r="A37" s="26">
        <v>31</v>
      </c>
      <c r="B37" s="27" t="s">
        <v>61</v>
      </c>
      <c r="C37" s="28">
        <v>0</v>
      </c>
      <c r="D37" s="28">
        <v>0</v>
      </c>
      <c r="E37" s="29">
        <f t="shared" si="4"/>
        <v>0</v>
      </c>
      <c r="F37" s="28">
        <v>0</v>
      </c>
      <c r="G37" s="28">
        <v>0</v>
      </c>
      <c r="H37" s="28">
        <f t="shared" si="1"/>
        <v>0</v>
      </c>
      <c r="I37" s="29">
        <v>0.166666666666667</v>
      </c>
      <c r="J37" s="28">
        <f t="shared" si="2"/>
        <v>0</v>
      </c>
      <c r="K37" s="28">
        <f t="shared" si="3"/>
        <v>-0.166666666666667</v>
      </c>
    </row>
    <row r="38" customHeight="1" spans="1:11">
      <c r="A38" s="6"/>
      <c r="B38" s="30"/>
      <c r="C38" s="20"/>
      <c r="D38" s="20"/>
      <c r="E38" s="21"/>
      <c r="F38" s="20"/>
      <c r="G38" s="20"/>
      <c r="H38" s="20"/>
      <c r="I38" s="21"/>
      <c r="J38" s="20"/>
      <c r="K38" s="20"/>
    </row>
    <row r="39" customHeight="1" spans="1:11">
      <c r="A39" s="6"/>
      <c r="B39" s="30" t="s">
        <v>64</v>
      </c>
      <c r="C39" s="31">
        <f>J43</f>
        <v>6.71805555555556</v>
      </c>
      <c r="D39" s="14"/>
      <c r="E39" s="32"/>
      <c r="F39" s="14"/>
      <c r="G39" s="14"/>
      <c r="H39" s="14"/>
      <c r="I39" s="37"/>
      <c r="J39" s="37"/>
      <c r="K39" s="37"/>
    </row>
    <row r="40" customHeight="1" spans="1:11">
      <c r="A40" s="6"/>
      <c r="B40" s="30"/>
      <c r="C40" s="31"/>
      <c r="D40" s="14"/>
      <c r="E40" s="32"/>
      <c r="F40" s="14"/>
      <c r="G40" s="14"/>
      <c r="H40" s="14"/>
      <c r="I40" s="37"/>
      <c r="J40" s="37"/>
      <c r="K40" s="37"/>
    </row>
    <row r="41" customHeight="1" spans="1:11">
      <c r="A41" s="6"/>
      <c r="B41" s="30" t="s">
        <v>65</v>
      </c>
      <c r="C41" s="31">
        <f>I43</f>
        <v>7.5</v>
      </c>
      <c r="D41" s="14"/>
      <c r="E41" s="32"/>
      <c r="F41" s="14"/>
      <c r="G41" s="14"/>
      <c r="H41" s="14"/>
      <c r="I41" s="37"/>
      <c r="J41" s="37"/>
      <c r="K41" s="37"/>
    </row>
    <row r="42" customHeight="1" spans="1:11">
      <c r="A42" s="6"/>
      <c r="C42" s="33"/>
      <c r="D42" s="32"/>
      <c r="E42" s="14"/>
      <c r="F42" s="14"/>
      <c r="G42" s="32"/>
      <c r="H42" s="14"/>
      <c r="I42" s="37"/>
      <c r="J42" s="37"/>
      <c r="K42" s="37"/>
    </row>
    <row r="43" customHeight="1" spans="1:11">
      <c r="A43" s="6"/>
      <c r="B43" s="14" t="s">
        <v>66</v>
      </c>
      <c r="C43" s="31">
        <f>C39-C41</f>
        <v>-0.78194444444444</v>
      </c>
      <c r="D43" s="14"/>
      <c r="E43" s="14"/>
      <c r="F43" s="14"/>
      <c r="G43" s="14"/>
      <c r="H43" s="14"/>
      <c r="I43" s="21">
        <f>SUM(I7:I42)</f>
        <v>7.5</v>
      </c>
      <c r="J43" s="21">
        <f>SUM(J7:J42)</f>
        <v>6.71805555555556</v>
      </c>
      <c r="K43" s="37"/>
    </row>
    <row r="45" spans="1:11">
      <c r="A45" s="34"/>
      <c r="B45" s="35"/>
      <c r="C45" s="35"/>
      <c r="D45" s="35"/>
      <c r="E45" s="35"/>
      <c r="F45" s="35"/>
      <c r="G45" s="35"/>
      <c r="H45" s="35"/>
      <c r="I45" s="35"/>
      <c r="J45" s="35"/>
      <c r="K45" s="35"/>
    </row>
    <row r="46" spans="1:11">
      <c r="A46" s="34"/>
      <c r="B46" s="35"/>
      <c r="C46" s="35"/>
      <c r="D46" s="35"/>
      <c r="E46" s="35"/>
      <c r="F46" s="35"/>
      <c r="G46" s="35"/>
      <c r="H46" s="35"/>
      <c r="I46" s="35"/>
      <c r="J46" s="35"/>
      <c r="K46" s="35"/>
    </row>
  </sheetData>
  <mergeCells count="5">
    <mergeCell ref="A2:K2"/>
    <mergeCell ref="C3:K3"/>
    <mergeCell ref="C4:K4"/>
    <mergeCell ref="C5:E5"/>
    <mergeCell ref="F5:H5"/>
  </mergeCells>
  <pageMargins left="0.118055555555556" right="0.118055555555556" top="0.196527777777778" bottom="0.196527777777778" header="0.511805555555555" footer="0.511805555555555"/>
  <pageSetup paperSize="9" scale="52" firstPageNumber="0" orientation="landscape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grupo</Company>
  <Application>LibreOffice/7.0.3.1$Windows_X86_64 LibreOffice_project/d7547858d014d4cf69878db179d326fc3483e082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08.2010</vt:lpstr>
      <vt:lpstr>09.2010</vt:lpstr>
      <vt:lpstr>082011</vt:lpstr>
      <vt:lpstr>092011</vt:lpstr>
      <vt:lpstr>102011</vt:lpstr>
      <vt:lpstr>122011</vt:lpstr>
      <vt:lpstr>122012</vt:lpstr>
      <vt:lpstr>022012</vt:lpstr>
      <vt:lpstr>032012</vt:lpstr>
      <vt:lpstr>042012</vt:lpstr>
      <vt:lpstr>012013</vt:lpstr>
      <vt:lpstr>022013</vt:lpstr>
      <vt:lpstr>032013</vt:lpstr>
      <vt:lpstr>JANEIRO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Edilse Goes</cp:lastModifiedBy>
  <cp:revision>71</cp:revision>
  <dcterms:created xsi:type="dcterms:W3CDTF">2009-05-05T14:58:00Z</dcterms:created>
  <cp:lastPrinted>2018-05-31T14:48:00Z</cp:lastPrinted>
  <dcterms:modified xsi:type="dcterms:W3CDTF">2026-03-06T18:55:20Z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grupo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ICV">
    <vt:lpwstr>57F7B4C45CA64EE085886E05C68CDBF6_12</vt:lpwstr>
  </property>
  <property fmtid="{D5CDD505-2E9C-101B-9397-08002B2CF9AE}" pid="7" name="KSOProductBuildVer">
    <vt:lpwstr>1046-12.2.0.23196</vt:lpwstr>
  </property>
  <property fmtid="{D5CDD505-2E9C-101B-9397-08002B2CF9AE}" pid="8" name="LinksUpToDate">
    <vt:bool>false</vt:bool>
  </property>
  <property fmtid="{D5CDD505-2E9C-101B-9397-08002B2CF9AE}" pid="9" name="ScaleCrop">
    <vt:bool>false</vt:bool>
  </property>
  <property fmtid="{D5CDD505-2E9C-101B-9397-08002B2CF9AE}" pid="10" name="ShareDoc">
    <vt:bool>false</vt:bool>
  </property>
</Properties>
</file>